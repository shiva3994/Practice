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8d4d655bee1e81/Desktop/Github/Practice/Daily Excel/"/>
    </mc:Choice>
  </mc:AlternateContent>
  <xr:revisionPtr revIDLastSave="128" documentId="8_{B6BA61EB-AA4A-4DB0-819E-47618E096020}" xr6:coauthVersionLast="47" xr6:coauthVersionMax="47" xr10:uidLastSave="{F22E8583-5700-43B0-B6B5-0BBDA8F3CFAC}"/>
  <bookViews>
    <workbookView xWindow="-108" yWindow="-108" windowWidth="23256" windowHeight="12456" activeTab="2" xr2:uid="{3432BE69-4EDA-4C58-A65F-3DDD682A6F1A}"/>
  </bookViews>
  <sheets>
    <sheet name="E_Mcdonaldsdata" sheetId="1" r:id="rId1"/>
    <sheet name="Yearly" sheetId="2" r:id="rId2"/>
    <sheet name="Yearly analysis" sheetId="3" r:id="rId3"/>
    <sheet name="Netincome vs Operatingcost" sheetId="6" r:id="rId4"/>
  </sheets>
  <definedNames>
    <definedName name="_xlcn.WorksheetConnection_E_McdonaldsdataA1G861" hidden="1">E_Mcdonaldsdata!$A$1:$G$86</definedName>
  </definedNames>
  <calcPr calcId="191029"/>
  <pivotCaches>
    <pivotCache cacheId="11" r:id="rId5"/>
    <pivotCache cacheId="135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_Mcdonaldsdata!$A$1:$G$8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" i="3"/>
  <c r="I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3EB2ED-8F67-43D5-80CF-235684224A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13247FB-4FF9-4DF7-B754-A6C2C4451459}" name="WorksheetConnection_E_Mcdonaldsdata!$A$1:$G$8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_McdonaldsdataA1G861"/>
        </x15:connection>
      </ext>
    </extLst>
  </connection>
</connections>
</file>

<file path=xl/sharedStrings.xml><?xml version="1.0" encoding="utf-8"?>
<sst xmlns="http://schemas.openxmlformats.org/spreadsheetml/2006/main" count="334" uniqueCount="124">
  <si>
    <t>revenue_breakdown</t>
  </si>
  <si>
    <t>company_operated</t>
  </si>
  <si>
    <t>company_operated_us</t>
  </si>
  <si>
    <t>company_operated_international_operated_markets</t>
  </si>
  <si>
    <t>company_operated_intl_dev_licensed_and_corp</t>
  </si>
  <si>
    <t>franchised</t>
  </si>
  <si>
    <t>franchised_us</t>
  </si>
  <si>
    <t>franchised_international_operated_markets</t>
  </si>
  <si>
    <t>franchised_intl_dev_licensed_and_corp</t>
  </si>
  <si>
    <t>other</t>
  </si>
  <si>
    <t>other_revenues</t>
  </si>
  <si>
    <t>operating_non_operating_table</t>
  </si>
  <si>
    <t>operating_costs_company_owned</t>
  </si>
  <si>
    <t>food_and_paper</t>
  </si>
  <si>
    <t>payroll_and_employee_benefits</t>
  </si>
  <si>
    <t>occupancy_and_other_operating_expenses</t>
  </si>
  <si>
    <t>operating_costs_franchise</t>
  </si>
  <si>
    <t>franchised_restaurants__occupancy_expenses</t>
  </si>
  <si>
    <t>operating_costs</t>
  </si>
  <si>
    <t>other_restaurant_expenses</t>
  </si>
  <si>
    <t>sganda_expenses_other</t>
  </si>
  <si>
    <t>depreciation_and_amortization</t>
  </si>
  <si>
    <t>other_operating_income_expense_net</t>
  </si>
  <si>
    <t>total</t>
  </si>
  <si>
    <t>operating_income</t>
  </si>
  <si>
    <t>non_operating_cost</t>
  </si>
  <si>
    <t>interest_expense</t>
  </si>
  <si>
    <t>nonoperating_income_expense_net</t>
  </si>
  <si>
    <t>income_before_income_taxes</t>
  </si>
  <si>
    <t>provision_for_income_taxes</t>
  </si>
  <si>
    <t>net_income</t>
  </si>
  <si>
    <t>share</t>
  </si>
  <si>
    <t>share_data</t>
  </si>
  <si>
    <t>earnings_per_share__basic</t>
  </si>
  <si>
    <t>earnings_per_share__diluted</t>
  </si>
  <si>
    <t>dividends_declared_per_share</t>
  </si>
  <si>
    <t>avg_shares_outstanding__basic</t>
  </si>
  <si>
    <t>avg_shares_outstanding__diluted</t>
  </si>
  <si>
    <t>assets</t>
  </si>
  <si>
    <t>current_assets</t>
  </si>
  <si>
    <t>cash_and_equivalents</t>
  </si>
  <si>
    <t>accounts_and_notes_receivable</t>
  </si>
  <si>
    <t>inventories</t>
  </si>
  <si>
    <t>prepaid_expenses_and_other_current_assets</t>
  </si>
  <si>
    <t>other_assets</t>
  </si>
  <si>
    <t>investments_in_and_advances_to_affiliates</t>
  </si>
  <si>
    <t>goodwill</t>
  </si>
  <si>
    <t>miscellaneous</t>
  </si>
  <si>
    <t>lease_and_property</t>
  </si>
  <si>
    <t>lease_right_of_use_asset_net</t>
  </si>
  <si>
    <t>property_and_equipment_at_cost</t>
  </si>
  <si>
    <t>accumulated_depreciation_and_amortization</t>
  </si>
  <si>
    <t>liabilities</t>
  </si>
  <si>
    <t>current_liabilities</t>
  </si>
  <si>
    <t>short_term_borrowings_and_current_maturities</t>
  </si>
  <si>
    <t>accounts_payable</t>
  </si>
  <si>
    <t>lease_liability</t>
  </si>
  <si>
    <t>income_taxes</t>
  </si>
  <si>
    <t>other_taxes</t>
  </si>
  <si>
    <t>accrued_interest</t>
  </si>
  <si>
    <t>accrued_payroll_and_other_liabilities</t>
  </si>
  <si>
    <t>long_term_liabilities</t>
  </si>
  <si>
    <t>long_term_debt</t>
  </si>
  <si>
    <t>long_term_lease_liability</t>
  </si>
  <si>
    <t>long_term_income_taxes</t>
  </si>
  <si>
    <t>deferred_revenues__franchise_fees</t>
  </si>
  <si>
    <t>other_long_term_liabilities</t>
  </si>
  <si>
    <t>deferred_income_taxes</t>
  </si>
  <si>
    <t>shareholders</t>
  </si>
  <si>
    <t>preferred_stock_no_par_value_</t>
  </si>
  <si>
    <t>common_stock_issued_16606m_shares_</t>
  </si>
  <si>
    <t>additional_paid_in_capital</t>
  </si>
  <si>
    <t>retained_earnings</t>
  </si>
  <si>
    <t>accum_other_comprehensive_income_loss_</t>
  </si>
  <si>
    <t>treasury_stock_at_cost_</t>
  </si>
  <si>
    <t>cash_flow_statement</t>
  </si>
  <si>
    <t>Net income</t>
  </si>
  <si>
    <t>charges_and_credit</t>
  </si>
  <si>
    <t>Depreciation and amortization</t>
  </si>
  <si>
    <t>Deferred income taxes</t>
  </si>
  <si>
    <t>Share-based compensation</t>
  </si>
  <si>
    <t>Net (gain) loss on sale of restaurant and other businesses</t>
  </si>
  <si>
    <t>Other (Operating)</t>
  </si>
  <si>
    <t>changes_in_working_capital</t>
  </si>
  <si>
    <t>Accounts receivable</t>
  </si>
  <si>
    <t>Inventories, prepaid expenses and other current assets</t>
  </si>
  <si>
    <t>Accounts payable</t>
  </si>
  <si>
    <t>Income taxes</t>
  </si>
  <si>
    <t>Other accrued liabilities</t>
  </si>
  <si>
    <t>investing_activity</t>
  </si>
  <si>
    <t>Capital expenditures</t>
  </si>
  <si>
    <t>Purchases of restaurant businesses</t>
  </si>
  <si>
    <t>Purchases of equity method investments</t>
  </si>
  <si>
    <t>Sales of restaurant and other businesses</t>
  </si>
  <si>
    <t>Sales of property</t>
  </si>
  <si>
    <t>Other (Investing)</t>
  </si>
  <si>
    <t>financing_activity</t>
  </si>
  <si>
    <t>Net short-term borrowings</t>
  </si>
  <si>
    <t>Long-term financing issuances</t>
  </si>
  <si>
    <t>Long-term financing repayments</t>
  </si>
  <si>
    <t>Treasury stock purchases</t>
  </si>
  <si>
    <t>Common stock dividends</t>
  </si>
  <si>
    <t>Proceeds from stock option exercises</t>
  </si>
  <si>
    <t>Other (Financing)</t>
  </si>
  <si>
    <t>effect_of_exchange_rates</t>
  </si>
  <si>
    <t>cash_and_equivalents_increase_(decrease)</t>
  </si>
  <si>
    <t>cash_and_equivalents_at_beginning_of_year</t>
  </si>
  <si>
    <t>cash_and_equivalents_at_end_of_year</t>
  </si>
  <si>
    <t>interest_paid</t>
  </si>
  <si>
    <t>income_taxes_paid</t>
  </si>
  <si>
    <t>Table</t>
  </si>
  <si>
    <t>Heading</t>
  </si>
  <si>
    <t>Subheading</t>
  </si>
  <si>
    <t>Row Labels</t>
  </si>
  <si>
    <t>Grand Total</t>
  </si>
  <si>
    <t>Sum of 2021</t>
  </si>
  <si>
    <t>Sum of 2022</t>
  </si>
  <si>
    <t>Sum of 2023</t>
  </si>
  <si>
    <t>Sum of 2024</t>
  </si>
  <si>
    <t>Growth 2022 vs 2021</t>
  </si>
  <si>
    <t>Growth 2023 vs 2022</t>
  </si>
  <si>
    <t>Growth 2024 vs 2023</t>
  </si>
  <si>
    <t>Column Labels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</si>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</sst>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3" fillId="33" borderId="0" xfId="0" applyNumberFormat="1" applyFont="1" applyFill="1"/>
    <xf numFmtId="1" fontId="13" fillId="33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18" fillId="34" borderId="0" xfId="0" applyFon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[Excel_Mcdonaldsdata.xlsx]Netincome vs Operatingcost!PivotTable6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'Netincome vs Operatingcost'!$B$3:$B$4</c:f>
              <c:strCache>
                <c:ptCount val="1"/>
                <c:pt idx="0">
                  <c:v>net_income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'Netincome vs Operatingcost'!$A$5:$A$8</c:f>
              <c:strCache>
                <c:ptCount val="4"/>
                <c:pt idx="0">
                  <c:v>Sum of 2021</c:v>
                </c:pt>
                <c:pt idx="1">
                  <c:v>Sum of 2022</c:v>
                </c:pt>
                <c:pt idx="2">
                  <c:v>Sum of 2023</c:v>
                </c:pt>
                <c:pt idx="3">
                  <c:v>Sum of 2024</c:v>
                </c:pt>
              </c:strCache>
            </c:strRef>
          </c:cat>
          <c:val>
            <c:numRef>
              <c:f>'Netincome vs Operatingcost'!$B$5:$B$8</c:f>
              <c:numCache>
                <c:formatCode>General</c:formatCode>
                <c:ptCount val="4"/>
                <c:pt idx="0">
                  <c:v>7545.2</c:v>
                </c:pt>
                <c:pt idx="1">
                  <c:v>6177</c:v>
                </c:pt>
                <c:pt idx="2">
                  <c:v>8469</c:v>
                </c:pt>
                <c:pt idx="3">
                  <c:v>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B-4922-8B88-65FE1E3AF7A9}"/>
            </c:ext>
          </c:extLst>
        </c:ser>
        <c:ser>
          <c:idx val="1"/>
          <c:order val="1"/>
          <c:tx>
            <c:strRef>
              <c:f>'Netincome vs Operatingcost'!$C$3:$C$4</c:f>
              <c:strCache>
                <c:ptCount val="1"/>
                <c:pt idx="0">
                  <c:v>operating_costs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'Netincome vs Operatingcost'!$A$5:$A$8</c:f>
              <c:strCache>
                <c:ptCount val="4"/>
                <c:pt idx="0">
                  <c:v>Sum of 2021</c:v>
                </c:pt>
                <c:pt idx="1">
                  <c:v>Sum of 2022</c:v>
                </c:pt>
                <c:pt idx="2">
                  <c:v>Sum of 2023</c:v>
                </c:pt>
                <c:pt idx="3">
                  <c:v>Sum of 2024</c:v>
                </c:pt>
              </c:strCache>
            </c:strRef>
          </c:cat>
          <c:val>
            <c:numRef>
              <c:f>'Netincome vs Operatingcost'!$C$5:$C$8</c:f>
              <c:numCache>
                <c:formatCode>General</c:formatCode>
                <c:ptCount val="4"/>
                <c:pt idx="0">
                  <c:v>2484.6</c:v>
                </c:pt>
                <c:pt idx="1">
                  <c:v>4081</c:v>
                </c:pt>
                <c:pt idx="2">
                  <c:v>3149</c:v>
                </c:pt>
                <c:pt idx="3">
                  <c:v>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B-4922-8B88-65FE1E3AF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969071"/>
        <c:axId val="444875439"/>
      </c:lineChart>
      <c:catAx>
        <c:axId val="107596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75439"/>
        <c:crosses val="autoZero"/>
        <c:auto val="1"/>
        <c:lblAlgn val="ctr"/>
        <c:lblOffset val="100"/>
        <c:noMultiLvlLbl val="0"/>
      </c:catAx>
      <c:valAx>
        <c:axId val="44487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96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8</xdr:row>
      <xdr:rowOff>179070</xdr:rowOff>
    </xdr:from>
    <xdr:to>
      <xdr:col>5</xdr:col>
      <xdr:colOff>533400</xdr:colOff>
      <xdr:row>23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AD43DC-A17C-DCB4-2BBF-B813B53AB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 Thakur" refreshedDate="46262.472825694444" createdVersion="8" refreshedVersion="8" minRefreshableVersion="3" recordCount="85" xr:uid="{947A6C34-F960-426B-BEF4-182BE7FB3E08}">
  <cacheSource type="worksheet">
    <worksheetSource ref="A1:G86" sheet="E_Mcdonaldsdata"/>
  </cacheSource>
  <cacheFields count="7">
    <cacheField name="Table" numFmtId="49">
      <sharedItems/>
    </cacheField>
    <cacheField name="Heading" numFmtId="49">
      <sharedItems count="26">
        <s v="company_operated"/>
        <s v="franchised"/>
        <s v="other"/>
        <s v="operating_costs_company_owned"/>
        <s v="operating_costs_franchise"/>
        <s v="operating_costs"/>
        <s v="total"/>
        <s v="non_operating_cost"/>
        <s v="share_data"/>
        <s v="current_assets"/>
        <s v="other_assets"/>
        <s v="lease_and_property"/>
        <s v="current_liabilities"/>
        <s v="long_term_liabilities"/>
        <s v="shareholders"/>
        <s v="net_income"/>
        <s v="charges_and_credit"/>
        <s v="changes_in_working_capital"/>
        <s v="investing_activity"/>
        <s v="financing_activity"/>
        <s v="effect_of_exchange_rates"/>
        <s v="cash_and_equivalents_increase_(decrease)"/>
        <s v="cash_and_equivalents_at_beginning_of_year"/>
        <s v="cash_and_equivalents_at_end_of_year"/>
        <s v="interest_paid"/>
        <s v="income_taxes_paid"/>
      </sharedItems>
    </cacheField>
    <cacheField name="Subheading" numFmtId="49">
      <sharedItems/>
    </cacheField>
    <cacheField name="2024" numFmtId="1">
      <sharedItems containsSemiMixedTypes="0" containsString="0" containsNumber="1" minValue="-77375" maxValue="66834" count="82">
        <n v="3197"/>
        <n v="5713"/>
        <n v="872"/>
        <n v="7211"/>
        <n v="6746"/>
        <n v="1758"/>
        <n v="423"/>
        <n v="2995"/>
        <n v="2959"/>
        <n v="2381"/>
        <n v="2536"/>
        <n v="339"/>
        <n v="2412"/>
        <n v="447"/>
        <n v="139"/>
        <n v="11712"/>
        <n v="1506"/>
        <n v="-139"/>
        <n v="10345"/>
        <n v="2121"/>
        <n v="8223"/>
        <n v="11.45"/>
        <n v="11.39"/>
        <n v="6.78"/>
        <n v="718.3"/>
        <n v="721.9"/>
        <n v="1085"/>
        <n v="2383"/>
        <n v="56"/>
        <n v="1074"/>
        <n v="2710"/>
        <n v="3145"/>
        <n v="6095"/>
        <n v="13339"/>
        <n v="44177"/>
        <n v="-18882"/>
        <n v="0"/>
        <n v="1029"/>
        <n v="636"/>
        <n v="361"/>
        <n v="224"/>
        <n v="482"/>
        <n v="1129"/>
        <n v="38424"/>
        <n v="12888"/>
        <n v="344"/>
        <n v="778"/>
        <n v="771"/>
        <n v="1914"/>
        <n v="17"/>
        <n v="9281"/>
        <n v="66834"/>
        <n v="-2553"/>
        <n v="-77375"/>
        <n v="2097"/>
        <n v="-574"/>
        <n v="172"/>
        <n v="-37"/>
        <n v="3"/>
        <n v="10"/>
        <n v="71"/>
        <n v="-10"/>
        <n v="-292"/>
        <n v="-217"/>
        <n v="-2775"/>
        <n v="-669"/>
        <n v="-1837"/>
        <n v="311"/>
        <n v="122"/>
        <n v="-498"/>
        <n v="326"/>
        <n v="2380"/>
        <n v="-2777"/>
        <n v="-2824"/>
        <n v="-4870"/>
        <n v="328"/>
        <n v="-56"/>
        <n v="-101"/>
        <n v="-3495"/>
        <n v="4579"/>
        <n v="1523"/>
        <n v="2974"/>
      </sharedItems>
    </cacheField>
    <cacheField name="2023" numFmtId="1">
      <sharedItems containsSemiMixedTypes="0" containsString="0" containsNumber="1" containsInteger="1" minValue="-74640" maxValue="63480" count="80">
        <n v="3221"/>
        <n v="5702"/>
        <n v="819"/>
        <n v="7163"/>
        <n v="6549"/>
        <n v="1724"/>
        <n v="316"/>
        <n v="3039"/>
        <n v="2886"/>
        <n v="2299"/>
        <n v="2475"/>
        <n v="233"/>
        <n v="2435"/>
        <n v="382"/>
        <n v="99"/>
        <n v="11647"/>
        <n v="1361"/>
        <n v="-236"/>
        <n v="10522"/>
        <n v="2053"/>
        <n v="8469"/>
        <n v="12"/>
        <n v="6"/>
        <n v="728"/>
        <n v="732"/>
        <n v="4579"/>
        <n v="2488"/>
        <n v="53"/>
        <n v="866"/>
        <n v="1080"/>
        <n v="3040"/>
        <n v="5618"/>
        <n v="13514"/>
        <n v="43570"/>
        <n v="-18662"/>
        <n v="2192"/>
        <n v="1103"/>
        <n v="688"/>
        <n v="705"/>
        <n v="268"/>
        <n v="469"/>
        <n v="1434"/>
        <n v="37153"/>
        <n v="13058"/>
        <n v="363"/>
        <n v="790"/>
        <n v="950"/>
        <n v="1681"/>
        <n v="0"/>
        <n v="17"/>
        <n v="8893"/>
        <n v="63480"/>
        <n v="-2456"/>
        <n v="-74640"/>
        <n v="1978"/>
        <n v="-686"/>
        <n v="175"/>
        <n v="-103"/>
        <n v="-113"/>
        <n v="-161"/>
        <n v="50"/>
        <n v="-220"/>
        <n v="206"/>
        <n v="-2357"/>
        <n v="-441"/>
        <n v="195"/>
        <n v="95"/>
        <n v="-676"/>
        <n v="213"/>
        <n v="5221"/>
        <n v="-2441"/>
        <n v="-3054"/>
        <n v="-4533"/>
        <n v="260"/>
        <n v="-40"/>
        <n v="-58"/>
        <n v="1996"/>
        <n v="2584"/>
        <n v="1287"/>
        <n v="2993"/>
      </sharedItems>
    </cacheField>
    <cacheField name="2022" numFmtId="1">
      <sharedItems containsSemiMixedTypes="0" containsString="0" containsNumber="1" minValue="-71624.399999999994" maxValue="59543.9" count="82">
        <n v="2836"/>
        <n v="5179"/>
        <n v="733"/>
        <n v="6585"/>
        <n v="5985"/>
        <n v="1536"/>
        <n v="329"/>
        <n v="2737.3"/>
        <n v="2617.4"/>
        <n v="2026.2"/>
        <n v="2349.6999999999998"/>
        <n v="244.8"/>
        <n v="2492.1999999999998"/>
        <n v="370.4"/>
        <n v="973.6"/>
        <n v="9371"/>
        <n v="1207"/>
        <n v="338.6"/>
        <n v="7825.4"/>
        <n v="1648"/>
        <n v="6177.4"/>
        <n v="8.39"/>
        <n v="8.33"/>
        <n v="5.66"/>
        <n v="736.5"/>
        <n v="741.3"/>
        <n v="2583.8000000000002"/>
        <n v="2115"/>
        <n v="52"/>
        <n v="673.4"/>
        <n v="1064.5"/>
        <n v="2900.4"/>
        <n v="4707.2"/>
        <n v="12565.7"/>
        <n v="41037.599999999999"/>
        <n v="-17264"/>
        <n v="0"/>
        <n v="980.2"/>
        <n v="661.1"/>
        <n v="274.89999999999998"/>
        <n v="255.1"/>
        <n v="393.4"/>
        <n v="1237.4000000000001"/>
        <n v="35903.5"/>
        <n v="12134.4"/>
        <n v="791.9"/>
        <n v="757.8"/>
        <n v="1051.8"/>
        <n v="1997.5"/>
        <n v="16.600000000000001"/>
        <n v="8547.1"/>
        <n v="59543.9"/>
        <n v="-2486.6"/>
        <n v="-71624.399999999994"/>
        <n v="6177"/>
        <n v="1871"/>
        <n v="-346"/>
        <n v="167"/>
        <n v="-570"/>
        <n v="-264"/>
        <n v="6"/>
        <n v="31"/>
        <n v="-547"/>
        <n v="129"/>
        <n v="-1899"/>
        <n v="-807"/>
        <n v="446"/>
        <n v="39"/>
        <n v="-457"/>
        <n v="26"/>
        <n v="3374"/>
        <n v="-2202"/>
        <n v="-3896"/>
        <n v="-4168"/>
        <n v="248"/>
        <n v="38"/>
        <n v="-254"/>
        <n v="-2126"/>
        <n v="4709"/>
        <n v="2584"/>
        <n v="1184"/>
        <n v="3024"/>
      </sharedItems>
    </cacheField>
    <cacheField name="2021" numFmtId="1">
      <sharedItems containsSemiMixedTypes="0" containsString="0" containsNumber="1" minValue="-67810.2" maxValue="57534.7" count="81">
        <n v="2617"/>
        <n v="6456"/>
        <n v="715"/>
        <n v="6094"/>
        <n v="5638"/>
        <n v="1353"/>
        <n v="351"/>
        <n v="3096.8"/>
        <n v="2677.2"/>
        <n v="2273.8000000000002"/>
        <n v="2335"/>
        <n v="260.39999999999998"/>
        <n v="2377.8000000000002"/>
        <n v="329.7"/>
        <n v="-483.3"/>
        <n v="10356"/>
        <n v="1185.8"/>
        <n v="42.3"/>
        <n v="9127.9"/>
        <n v="1582.7"/>
        <n v="7545.2"/>
        <n v="10.11"/>
        <n v="10.039999999999999"/>
        <n v="5.25"/>
        <n v="746.3"/>
        <n v="751.8"/>
        <n v="4709.2"/>
        <n v="1872.4"/>
        <n v="55.6"/>
        <n v="511.3"/>
        <n v="1201.2"/>
        <n v="2782.5"/>
        <n v="4449.5"/>
        <n v="13552"/>
        <n v="41916.6"/>
        <n v="-17196"/>
        <n v="0"/>
        <n v="1006.8"/>
        <n v="705.5"/>
        <n v="360.7"/>
        <n v="236.7"/>
        <n v="363.3"/>
        <n v="1347"/>
        <n v="35622.699999999997"/>
        <n v="13020.9"/>
        <n v="1896.8"/>
        <n v="738.3"/>
        <n v="1081"/>
        <n v="2075.6"/>
        <n v="16.600000000000001"/>
        <n v="8231.6"/>
        <n v="57534.7"/>
        <n v="-2573.6999999999998"/>
        <n v="-67810.2"/>
        <n v="1868.1"/>
        <n v="-428.3"/>
        <n v="139.19999999999999"/>
        <n v="-97.8"/>
        <n v="-339.1"/>
        <n v="309.89999999999998"/>
        <n v="-62.2"/>
        <n v="225"/>
        <n v="-302.5"/>
        <n v="284"/>
        <n v="-2040"/>
        <n v="-374.2"/>
        <n v="196.2"/>
        <n v="106.2"/>
        <n v="-53.9"/>
        <n v="15.1"/>
        <n v="1154.4000000000001"/>
        <n v="-2240.9"/>
        <n v="-845.5"/>
        <n v="-3918.6"/>
        <n v="285.7"/>
        <n v="-46.7"/>
        <n v="-120.1"/>
        <n v="1260"/>
        <n v="3449.9"/>
        <n v="1197"/>
        <n v="24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va Thakur" refreshedDate="46262.489352546298" backgroundQuery="1" createdVersion="8" refreshedVersion="8" minRefreshableVersion="3" recordCount="0" supportSubquery="1" supportAdvancedDrill="1" xr:uid="{A9B2D101-DDCC-4FDD-8A87-A3151604D273}">
  <cacheSource type="external" connectionId="1"/>
  <cacheFields count="5">
    <cacheField name="[Range].[Heading].[Heading]" caption="Heading" numFmtId="0" hierarchy="1" level="1">
      <sharedItems count="3">
        <s v="net_income"/>
        <s v="operating_costs"/>
        <s v="total" u="1"/>
      </sharedItems>
    </cacheField>
    <cacheField name="[Measures].[Sum of 2022]" caption="Sum of 2022" numFmtId="0" hierarchy="11" level="32767"/>
    <cacheField name="[Measures].[Sum of 2021]" caption="Sum of 2021" numFmtId="0" hierarchy="10" level="32767"/>
    <cacheField name="[Measures].[Sum of 2023]" caption="Sum of 2023" numFmtId="0" hierarchy="12" level="32767"/>
    <cacheField name="[Measures].[Sum of 2024]" caption="Sum of 2024" numFmtId="0" hierarchy="13" level="32767"/>
  </cacheFields>
  <cacheHierarchies count="14">
    <cacheHierarchy uniqueName="[Range].[Table]" caption="Table" attribute="1" defaultMemberUniqueName="[Range].[Table].[All]" allUniqueName="[Range].[Table].[All]" dimensionUniqueName="[Range]" displayFolder="" count="0" memberValueDatatype="130" unbalanced="0"/>
    <cacheHierarchy uniqueName="[Range].[Heading]" caption="Heading" attribute="1" defaultMemberUniqueName="[Range].[Heading].[All]" allUniqueName="[Range].[Heading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ubheading]" caption="Subheading" attribute="1" defaultMemberUniqueName="[Range].[Subheading].[All]" allUniqueName="[Range].[Subheading].[All]" dimensionUniqueName="[Range]" displayFolder="" count="0" memberValueDatatype="130" unbalanced="0"/>
    <cacheHierarchy uniqueName="[Range].[2024]" caption="2024" attribute="1" defaultMemberUniqueName="[Range].[2024].[All]" allUniqueName="[Range].[2024].[All]" dimensionUniqueName="[Range]" displayFolder="" count="2" memberValueDatatype="5" unbalanced="0"/>
    <cacheHierarchy uniqueName="[Range].[2023]" caption="2023" attribute="1" defaultMemberUniqueName="[Range].[2023].[All]" allUniqueName="[Range].[2023].[All]" dimensionUniqueName="[Range]" displayFolder="" count="2" memberValueDatatype="20" unbalanced="0"/>
    <cacheHierarchy uniqueName="[Range].[2022]" caption="2022" attribute="1" defaultMemberUniqueName="[Range].[2022].[All]" allUniqueName="[Range].[2022].[All]" dimensionUniqueName="[Range]" displayFolder="" count="2" memberValueDatatype="5" unbalanced="0"/>
    <cacheHierarchy uniqueName="[Range].[2021]" caption="2021" attribute="1" defaultMemberUniqueName="[Range].[2021].[All]" allUniqueName="[Range].[2021].[All]" dimensionUniqueName="[Range]" displayFolder="" count="2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Heading]" caption="Count of Heading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2021]" caption="Sum of 2021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2022]" caption="Sum of 202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023]" caption="Sum of 2023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2024]" caption="Sum of 2024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revenue_breakdown"/>
    <x v="0"/>
    <s v="company_operated_us"/>
    <x v="0"/>
    <x v="0"/>
    <x v="0"/>
    <x v="0"/>
  </r>
  <r>
    <s v="revenue_breakdown"/>
    <x v="0"/>
    <s v="company_operated_international_operated_markets"/>
    <x v="1"/>
    <x v="1"/>
    <x v="1"/>
    <x v="1"/>
  </r>
  <r>
    <s v="revenue_breakdown"/>
    <x v="0"/>
    <s v="company_operated_intl_dev_licensed_and_corp"/>
    <x v="2"/>
    <x v="2"/>
    <x v="2"/>
    <x v="2"/>
  </r>
  <r>
    <s v="revenue_breakdown"/>
    <x v="1"/>
    <s v="franchised_us"/>
    <x v="3"/>
    <x v="3"/>
    <x v="3"/>
    <x v="3"/>
  </r>
  <r>
    <s v="revenue_breakdown"/>
    <x v="1"/>
    <s v="franchised_international_operated_markets"/>
    <x v="4"/>
    <x v="4"/>
    <x v="4"/>
    <x v="4"/>
  </r>
  <r>
    <s v="revenue_breakdown"/>
    <x v="1"/>
    <s v="franchised_intl_dev_licensed_and_corp"/>
    <x v="5"/>
    <x v="5"/>
    <x v="5"/>
    <x v="5"/>
  </r>
  <r>
    <s v="revenue_breakdown"/>
    <x v="2"/>
    <s v="other_revenues"/>
    <x v="6"/>
    <x v="6"/>
    <x v="6"/>
    <x v="6"/>
  </r>
  <r>
    <s v="operating_non_operating_table"/>
    <x v="3"/>
    <s v="food_and_paper"/>
    <x v="7"/>
    <x v="7"/>
    <x v="7"/>
    <x v="7"/>
  </r>
  <r>
    <s v="operating_non_operating_table"/>
    <x v="3"/>
    <s v="payroll_and_employee_benefits"/>
    <x v="8"/>
    <x v="8"/>
    <x v="8"/>
    <x v="8"/>
  </r>
  <r>
    <s v="operating_non_operating_table"/>
    <x v="3"/>
    <s v="occupancy_and_other_operating_expenses"/>
    <x v="9"/>
    <x v="9"/>
    <x v="9"/>
    <x v="9"/>
  </r>
  <r>
    <s v="operating_non_operating_table"/>
    <x v="4"/>
    <s v="franchised_restaurants__occupancy_expenses"/>
    <x v="10"/>
    <x v="10"/>
    <x v="10"/>
    <x v="10"/>
  </r>
  <r>
    <s v="operating_non_operating_table"/>
    <x v="5"/>
    <s v="other_restaurant_expenses"/>
    <x v="11"/>
    <x v="11"/>
    <x v="11"/>
    <x v="11"/>
  </r>
  <r>
    <s v="operating_non_operating_table"/>
    <x v="5"/>
    <s v="sganda_expenses_other"/>
    <x v="12"/>
    <x v="12"/>
    <x v="12"/>
    <x v="12"/>
  </r>
  <r>
    <s v="operating_non_operating_table"/>
    <x v="5"/>
    <s v="depreciation_and_amortization"/>
    <x v="13"/>
    <x v="13"/>
    <x v="13"/>
    <x v="13"/>
  </r>
  <r>
    <s v="operating_non_operating_table"/>
    <x v="5"/>
    <s v="other_operating_income_expense_net"/>
    <x v="14"/>
    <x v="14"/>
    <x v="14"/>
    <x v="14"/>
  </r>
  <r>
    <s v="operating_non_operating_table"/>
    <x v="6"/>
    <s v="operating_income"/>
    <x v="15"/>
    <x v="15"/>
    <x v="15"/>
    <x v="15"/>
  </r>
  <r>
    <s v="operating_non_operating_table"/>
    <x v="7"/>
    <s v="interest_expense"/>
    <x v="16"/>
    <x v="16"/>
    <x v="16"/>
    <x v="16"/>
  </r>
  <r>
    <s v="operating_non_operating_table"/>
    <x v="7"/>
    <s v="nonoperating_income_expense_net"/>
    <x v="17"/>
    <x v="17"/>
    <x v="17"/>
    <x v="17"/>
  </r>
  <r>
    <s v="operating_non_operating_table"/>
    <x v="6"/>
    <s v="income_before_income_taxes"/>
    <x v="18"/>
    <x v="18"/>
    <x v="18"/>
    <x v="18"/>
  </r>
  <r>
    <s v="operating_non_operating_table"/>
    <x v="7"/>
    <s v="provision_for_income_taxes"/>
    <x v="19"/>
    <x v="19"/>
    <x v="19"/>
    <x v="19"/>
  </r>
  <r>
    <s v="operating_non_operating_table"/>
    <x v="6"/>
    <s v="net_income"/>
    <x v="20"/>
    <x v="20"/>
    <x v="20"/>
    <x v="20"/>
  </r>
  <r>
    <s v="share"/>
    <x v="8"/>
    <s v="earnings_per_share__basic"/>
    <x v="21"/>
    <x v="21"/>
    <x v="21"/>
    <x v="21"/>
  </r>
  <r>
    <s v="share"/>
    <x v="8"/>
    <s v="earnings_per_share__diluted"/>
    <x v="22"/>
    <x v="21"/>
    <x v="22"/>
    <x v="22"/>
  </r>
  <r>
    <s v="share"/>
    <x v="8"/>
    <s v="dividends_declared_per_share"/>
    <x v="23"/>
    <x v="22"/>
    <x v="23"/>
    <x v="23"/>
  </r>
  <r>
    <s v="share"/>
    <x v="8"/>
    <s v="avg_shares_outstanding__basic"/>
    <x v="24"/>
    <x v="23"/>
    <x v="24"/>
    <x v="24"/>
  </r>
  <r>
    <s v="share"/>
    <x v="8"/>
    <s v="avg_shares_outstanding__diluted"/>
    <x v="25"/>
    <x v="24"/>
    <x v="25"/>
    <x v="25"/>
  </r>
  <r>
    <s v="assets"/>
    <x v="9"/>
    <s v="cash_and_equivalents"/>
    <x v="26"/>
    <x v="25"/>
    <x v="26"/>
    <x v="26"/>
  </r>
  <r>
    <s v="assets"/>
    <x v="9"/>
    <s v="accounts_and_notes_receivable"/>
    <x v="27"/>
    <x v="26"/>
    <x v="27"/>
    <x v="27"/>
  </r>
  <r>
    <s v="assets"/>
    <x v="9"/>
    <s v="inventories"/>
    <x v="28"/>
    <x v="27"/>
    <x v="28"/>
    <x v="28"/>
  </r>
  <r>
    <s v="assets"/>
    <x v="9"/>
    <s v="prepaid_expenses_and_other_current_assets"/>
    <x v="29"/>
    <x v="28"/>
    <x v="29"/>
    <x v="29"/>
  </r>
  <r>
    <s v="assets"/>
    <x v="10"/>
    <s v="investments_in_and_advances_to_affiliates"/>
    <x v="30"/>
    <x v="29"/>
    <x v="30"/>
    <x v="30"/>
  </r>
  <r>
    <s v="assets"/>
    <x v="10"/>
    <s v="goodwill"/>
    <x v="31"/>
    <x v="30"/>
    <x v="31"/>
    <x v="31"/>
  </r>
  <r>
    <s v="assets"/>
    <x v="10"/>
    <s v="miscellaneous"/>
    <x v="32"/>
    <x v="31"/>
    <x v="32"/>
    <x v="32"/>
  </r>
  <r>
    <s v="assets"/>
    <x v="11"/>
    <s v="lease_right_of_use_asset_net"/>
    <x v="33"/>
    <x v="32"/>
    <x v="33"/>
    <x v="33"/>
  </r>
  <r>
    <s v="assets"/>
    <x v="11"/>
    <s v="property_and_equipment_at_cost"/>
    <x v="34"/>
    <x v="33"/>
    <x v="34"/>
    <x v="34"/>
  </r>
  <r>
    <s v="assets"/>
    <x v="11"/>
    <s v="accumulated_depreciation_and_amortization"/>
    <x v="35"/>
    <x v="34"/>
    <x v="35"/>
    <x v="35"/>
  </r>
  <r>
    <s v="liabilities"/>
    <x v="12"/>
    <s v="short_term_borrowings_and_current_maturities"/>
    <x v="36"/>
    <x v="35"/>
    <x v="36"/>
    <x v="36"/>
  </r>
  <r>
    <s v="liabilities"/>
    <x v="12"/>
    <s v="accounts_payable"/>
    <x v="37"/>
    <x v="36"/>
    <x v="37"/>
    <x v="37"/>
  </r>
  <r>
    <s v="liabilities"/>
    <x v="12"/>
    <s v="lease_liability"/>
    <x v="38"/>
    <x v="37"/>
    <x v="38"/>
    <x v="38"/>
  </r>
  <r>
    <s v="liabilities"/>
    <x v="12"/>
    <s v="income_taxes"/>
    <x v="39"/>
    <x v="38"/>
    <x v="39"/>
    <x v="39"/>
  </r>
  <r>
    <s v="liabilities"/>
    <x v="12"/>
    <s v="other_taxes"/>
    <x v="40"/>
    <x v="39"/>
    <x v="40"/>
    <x v="40"/>
  </r>
  <r>
    <s v="liabilities"/>
    <x v="12"/>
    <s v="accrued_interest"/>
    <x v="41"/>
    <x v="40"/>
    <x v="41"/>
    <x v="41"/>
  </r>
  <r>
    <s v="liabilities"/>
    <x v="12"/>
    <s v="accrued_payroll_and_other_liabilities"/>
    <x v="42"/>
    <x v="41"/>
    <x v="42"/>
    <x v="42"/>
  </r>
  <r>
    <s v="liabilities"/>
    <x v="13"/>
    <s v="long_term_debt"/>
    <x v="43"/>
    <x v="42"/>
    <x v="43"/>
    <x v="43"/>
  </r>
  <r>
    <s v="liabilities"/>
    <x v="13"/>
    <s v="long_term_lease_liability"/>
    <x v="44"/>
    <x v="43"/>
    <x v="44"/>
    <x v="44"/>
  </r>
  <r>
    <s v="liabilities"/>
    <x v="13"/>
    <s v="long_term_income_taxes"/>
    <x v="45"/>
    <x v="44"/>
    <x v="45"/>
    <x v="45"/>
  </r>
  <r>
    <s v="liabilities"/>
    <x v="13"/>
    <s v="deferred_revenues__franchise_fees"/>
    <x v="46"/>
    <x v="45"/>
    <x v="46"/>
    <x v="46"/>
  </r>
  <r>
    <s v="liabilities"/>
    <x v="13"/>
    <s v="other_long_term_liabilities"/>
    <x v="47"/>
    <x v="46"/>
    <x v="47"/>
    <x v="47"/>
  </r>
  <r>
    <s v="liabilities"/>
    <x v="13"/>
    <s v="deferred_income_taxes"/>
    <x v="48"/>
    <x v="47"/>
    <x v="48"/>
    <x v="48"/>
  </r>
  <r>
    <s v="liabilities"/>
    <x v="14"/>
    <s v="preferred_stock_no_par_value_"/>
    <x v="36"/>
    <x v="48"/>
    <x v="36"/>
    <x v="36"/>
  </r>
  <r>
    <s v="liabilities"/>
    <x v="14"/>
    <s v="common_stock_issued_16606m_shares_"/>
    <x v="49"/>
    <x v="49"/>
    <x v="49"/>
    <x v="49"/>
  </r>
  <r>
    <s v="liabilities"/>
    <x v="14"/>
    <s v="additional_paid_in_capital"/>
    <x v="50"/>
    <x v="50"/>
    <x v="50"/>
    <x v="50"/>
  </r>
  <r>
    <s v="liabilities"/>
    <x v="14"/>
    <s v="retained_earnings"/>
    <x v="51"/>
    <x v="51"/>
    <x v="51"/>
    <x v="51"/>
  </r>
  <r>
    <s v="liabilities"/>
    <x v="14"/>
    <s v="accum_other_comprehensive_income_loss_"/>
    <x v="52"/>
    <x v="52"/>
    <x v="52"/>
    <x v="52"/>
  </r>
  <r>
    <s v="liabilities"/>
    <x v="14"/>
    <s v="treasury_stock_at_cost_"/>
    <x v="53"/>
    <x v="53"/>
    <x v="53"/>
    <x v="53"/>
  </r>
  <r>
    <s v="cash_flow_statement"/>
    <x v="15"/>
    <s v="Net income"/>
    <x v="20"/>
    <x v="20"/>
    <x v="54"/>
    <x v="20"/>
  </r>
  <r>
    <s v="cash_flow_statement"/>
    <x v="16"/>
    <s v="Depreciation and amortization"/>
    <x v="54"/>
    <x v="54"/>
    <x v="55"/>
    <x v="54"/>
  </r>
  <r>
    <s v="cash_flow_statement"/>
    <x v="16"/>
    <s v="Deferred income taxes"/>
    <x v="55"/>
    <x v="55"/>
    <x v="56"/>
    <x v="55"/>
  </r>
  <r>
    <s v="cash_flow_statement"/>
    <x v="16"/>
    <s v="Share-based compensation"/>
    <x v="56"/>
    <x v="56"/>
    <x v="57"/>
    <x v="56"/>
  </r>
  <r>
    <s v="cash_flow_statement"/>
    <x v="16"/>
    <s v="Net (gain) loss on sale of restaurant and other businesses"/>
    <x v="57"/>
    <x v="57"/>
    <x v="2"/>
    <x v="57"/>
  </r>
  <r>
    <s v="cash_flow_statement"/>
    <x v="16"/>
    <s v="Other (Operating)"/>
    <x v="58"/>
    <x v="58"/>
    <x v="58"/>
    <x v="58"/>
  </r>
  <r>
    <s v="cash_flow_statement"/>
    <x v="17"/>
    <s v="Accounts receivable"/>
    <x v="59"/>
    <x v="59"/>
    <x v="59"/>
    <x v="59"/>
  </r>
  <r>
    <s v="cash_flow_statement"/>
    <x v="17"/>
    <s v="Inventories, prepaid expenses and other current assets"/>
    <x v="60"/>
    <x v="49"/>
    <x v="60"/>
    <x v="60"/>
  </r>
  <r>
    <s v="cash_flow_statement"/>
    <x v="17"/>
    <s v="Accounts payable"/>
    <x v="61"/>
    <x v="60"/>
    <x v="61"/>
    <x v="61"/>
  </r>
  <r>
    <s v="cash_flow_statement"/>
    <x v="17"/>
    <s v="Income taxes"/>
    <x v="62"/>
    <x v="61"/>
    <x v="62"/>
    <x v="62"/>
  </r>
  <r>
    <s v="cash_flow_statement"/>
    <x v="17"/>
    <s v="Other accrued liabilities"/>
    <x v="63"/>
    <x v="62"/>
    <x v="63"/>
    <x v="63"/>
  </r>
  <r>
    <s v="cash_flow_statement"/>
    <x v="18"/>
    <s v="Capital expenditures"/>
    <x v="64"/>
    <x v="63"/>
    <x v="64"/>
    <x v="64"/>
  </r>
  <r>
    <s v="cash_flow_statement"/>
    <x v="18"/>
    <s v="Purchases of restaurant businesses"/>
    <x v="65"/>
    <x v="64"/>
    <x v="65"/>
    <x v="65"/>
  </r>
  <r>
    <s v="cash_flow_statement"/>
    <x v="18"/>
    <s v="Purchases of equity method investments"/>
    <x v="66"/>
    <x v="48"/>
    <x v="36"/>
    <x v="36"/>
  </r>
  <r>
    <s v="cash_flow_statement"/>
    <x v="18"/>
    <s v="Sales of restaurant and other businesses"/>
    <x v="67"/>
    <x v="65"/>
    <x v="66"/>
    <x v="66"/>
  </r>
  <r>
    <s v="cash_flow_statement"/>
    <x v="18"/>
    <s v="Sales of property"/>
    <x v="68"/>
    <x v="66"/>
    <x v="67"/>
    <x v="67"/>
  </r>
  <r>
    <s v="cash_flow_statement"/>
    <x v="18"/>
    <s v="Other (Investing)"/>
    <x v="69"/>
    <x v="67"/>
    <x v="68"/>
    <x v="68"/>
  </r>
  <r>
    <s v="cash_flow_statement"/>
    <x v="19"/>
    <s v="Net short-term borrowings"/>
    <x v="70"/>
    <x v="68"/>
    <x v="69"/>
    <x v="69"/>
  </r>
  <r>
    <s v="cash_flow_statement"/>
    <x v="19"/>
    <s v="Long-term financing issuances"/>
    <x v="71"/>
    <x v="69"/>
    <x v="70"/>
    <x v="70"/>
  </r>
  <r>
    <s v="cash_flow_statement"/>
    <x v="19"/>
    <s v="Long-term financing repayments"/>
    <x v="72"/>
    <x v="70"/>
    <x v="71"/>
    <x v="71"/>
  </r>
  <r>
    <s v="cash_flow_statement"/>
    <x v="19"/>
    <s v="Treasury stock purchases"/>
    <x v="73"/>
    <x v="71"/>
    <x v="72"/>
    <x v="72"/>
  </r>
  <r>
    <s v="cash_flow_statement"/>
    <x v="19"/>
    <s v="Common stock dividends"/>
    <x v="74"/>
    <x v="72"/>
    <x v="73"/>
    <x v="73"/>
  </r>
  <r>
    <s v="cash_flow_statement"/>
    <x v="19"/>
    <s v="Proceeds from stock option exercises"/>
    <x v="75"/>
    <x v="73"/>
    <x v="74"/>
    <x v="74"/>
  </r>
  <r>
    <s v="cash_flow_statement"/>
    <x v="19"/>
    <s v="Other (Financing)"/>
    <x v="76"/>
    <x v="74"/>
    <x v="75"/>
    <x v="75"/>
  </r>
  <r>
    <s v="cash_flow_statement"/>
    <x v="20"/>
    <s v="effect_of_exchange_rates"/>
    <x v="77"/>
    <x v="75"/>
    <x v="76"/>
    <x v="76"/>
  </r>
  <r>
    <s v="cash_flow_statement"/>
    <x v="21"/>
    <s v="cash_and_equivalents_increase_(decrease)"/>
    <x v="78"/>
    <x v="76"/>
    <x v="77"/>
    <x v="77"/>
  </r>
  <r>
    <s v="cash_flow_statement"/>
    <x v="22"/>
    <s v="cash_and_equivalents_at_beginning_of_year"/>
    <x v="79"/>
    <x v="77"/>
    <x v="78"/>
    <x v="78"/>
  </r>
  <r>
    <s v="cash_flow_statement"/>
    <x v="23"/>
    <s v="cash_and_equivalents_at_end_of_year"/>
    <x v="26"/>
    <x v="25"/>
    <x v="79"/>
    <x v="26"/>
  </r>
  <r>
    <s v="cash_flow_statement"/>
    <x v="24"/>
    <s v="interest_paid"/>
    <x v="80"/>
    <x v="78"/>
    <x v="80"/>
    <x v="79"/>
  </r>
  <r>
    <s v="cash_flow_statement"/>
    <x v="25"/>
    <s v="income_taxes_paid"/>
    <x v="81"/>
    <x v="79"/>
    <x v="81"/>
    <x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95C7E-344B-4C42-8B66-7FE8C428BAD2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30" firstHeaderRow="0" firstDataRow="1" firstDataCol="1"/>
  <pivotFields count="7">
    <pivotField showAll="0"/>
    <pivotField axis="axisRow" showAll="0">
      <items count="27">
        <item x="22"/>
        <item x="23"/>
        <item x="21"/>
        <item x="17"/>
        <item x="16"/>
        <item x="0"/>
        <item x="9"/>
        <item x="12"/>
        <item x="20"/>
        <item x="19"/>
        <item x="1"/>
        <item x="25"/>
        <item x="24"/>
        <item x="18"/>
        <item x="11"/>
        <item x="13"/>
        <item x="15"/>
        <item x="7"/>
        <item x="5"/>
        <item x="3"/>
        <item x="4"/>
        <item x="2"/>
        <item x="10"/>
        <item x="8"/>
        <item x="14"/>
        <item x="6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2021" fld="6" baseField="0" baseItem="0" numFmtId="1"/>
    <dataField name="Sum of 2022" fld="5" baseField="0" baseItem="0" numFmtId="1"/>
    <dataField name="Sum of 2023" fld="4" baseField="0" baseItem="0" numFmtId="1"/>
    <dataField name="Sum of 2024" fld="3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E0F8D-1F84-495E-82A9-9839BCAE7B6B}" name="PivotTable6" cacheId="13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5"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0"/>
  </colFields>
  <colItems count="3">
    <i>
      <x/>
    </i>
    <i>
      <x v="1"/>
    </i>
    <i t="grand">
      <x/>
    </i>
  </colItems>
  <dataFields count="4">
    <dataField name="Sum of 2021" fld="2" baseField="0" baseItem="0"/>
    <dataField name="Sum of 2022" fld="1" baseField="0" baseItem="0"/>
    <dataField name="Sum of 2023" fld="3" baseField="0" baseItem="0"/>
    <dataField name="Sum of 2024" fld="4" baseField="0" baseItem="0"/>
  </dataFields>
  <chartFormats count="22">
    <chartFormat chart="0" format="29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0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_Mcdonaldsdata!$A$1:$G$8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2FA4-43F6-45B9-AA7A-CEFF5A8AF75C}">
  <dimension ref="A1:G86"/>
  <sheetViews>
    <sheetView workbookViewId="0">
      <selection activeCell="B18" sqref="B18"/>
    </sheetView>
  </sheetViews>
  <sheetFormatPr defaultRowHeight="14.4" x14ac:dyDescent="0.3"/>
  <cols>
    <col min="1" max="1" width="25.88671875" style="1" bestFit="1" customWidth="1"/>
    <col min="2" max="2" width="36.5546875" style="1" bestFit="1" customWidth="1"/>
    <col min="3" max="3" width="47" style="1" bestFit="1" customWidth="1"/>
    <col min="4" max="7" width="11.21875" style="2" bestFit="1" customWidth="1"/>
  </cols>
  <sheetData>
    <row r="1" spans="1:7" x14ac:dyDescent="0.3">
      <c r="A1" s="3" t="s">
        <v>110</v>
      </c>
      <c r="B1" s="3" t="s">
        <v>111</v>
      </c>
      <c r="C1" s="3" t="s">
        <v>112</v>
      </c>
      <c r="D1" s="4">
        <v>2024</v>
      </c>
      <c r="E1" s="4">
        <v>2023</v>
      </c>
      <c r="F1" s="4">
        <v>2022</v>
      </c>
      <c r="G1" s="4">
        <v>2021</v>
      </c>
    </row>
    <row r="2" spans="1:7" x14ac:dyDescent="0.3">
      <c r="A2" s="1" t="s">
        <v>0</v>
      </c>
      <c r="B2" s="1" t="s">
        <v>1</v>
      </c>
      <c r="C2" s="1" t="s">
        <v>2</v>
      </c>
      <c r="D2" s="2">
        <v>3197</v>
      </c>
      <c r="E2" s="2">
        <v>3221</v>
      </c>
      <c r="F2" s="2">
        <v>2836</v>
      </c>
      <c r="G2" s="2">
        <v>2617</v>
      </c>
    </row>
    <row r="3" spans="1:7" x14ac:dyDescent="0.3">
      <c r="A3" s="1" t="s">
        <v>0</v>
      </c>
      <c r="B3" s="1" t="s">
        <v>1</v>
      </c>
      <c r="C3" s="1" t="s">
        <v>3</v>
      </c>
      <c r="D3" s="2">
        <v>5713</v>
      </c>
      <c r="E3" s="2">
        <v>5702</v>
      </c>
      <c r="F3" s="2">
        <v>5179</v>
      </c>
      <c r="G3" s="2">
        <v>6456</v>
      </c>
    </row>
    <row r="4" spans="1:7" x14ac:dyDescent="0.3">
      <c r="A4" s="1" t="s">
        <v>0</v>
      </c>
      <c r="B4" s="1" t="s">
        <v>1</v>
      </c>
      <c r="C4" s="1" t="s">
        <v>4</v>
      </c>
      <c r="D4" s="2">
        <v>872</v>
      </c>
      <c r="E4" s="2">
        <v>819</v>
      </c>
      <c r="F4" s="2">
        <v>733</v>
      </c>
      <c r="G4" s="2">
        <v>715</v>
      </c>
    </row>
    <row r="5" spans="1:7" x14ac:dyDescent="0.3">
      <c r="A5" s="1" t="s">
        <v>0</v>
      </c>
      <c r="B5" s="1" t="s">
        <v>5</v>
      </c>
      <c r="C5" s="1" t="s">
        <v>6</v>
      </c>
      <c r="D5" s="2">
        <v>7211</v>
      </c>
      <c r="E5" s="2">
        <v>7163</v>
      </c>
      <c r="F5" s="2">
        <v>6585</v>
      </c>
      <c r="G5" s="2">
        <v>6094</v>
      </c>
    </row>
    <row r="6" spans="1:7" x14ac:dyDescent="0.3">
      <c r="A6" s="1" t="s">
        <v>0</v>
      </c>
      <c r="B6" s="1" t="s">
        <v>5</v>
      </c>
      <c r="C6" s="1" t="s">
        <v>7</v>
      </c>
      <c r="D6" s="2">
        <v>6746</v>
      </c>
      <c r="E6" s="2">
        <v>6549</v>
      </c>
      <c r="F6" s="2">
        <v>5985</v>
      </c>
      <c r="G6" s="2">
        <v>5638</v>
      </c>
    </row>
    <row r="7" spans="1:7" x14ac:dyDescent="0.3">
      <c r="A7" s="1" t="s">
        <v>0</v>
      </c>
      <c r="B7" s="1" t="s">
        <v>5</v>
      </c>
      <c r="C7" s="1" t="s">
        <v>8</v>
      </c>
      <c r="D7" s="2">
        <v>1758</v>
      </c>
      <c r="E7" s="2">
        <v>1724</v>
      </c>
      <c r="F7" s="2">
        <v>1536</v>
      </c>
      <c r="G7" s="2">
        <v>1353</v>
      </c>
    </row>
    <row r="8" spans="1:7" x14ac:dyDescent="0.3">
      <c r="A8" s="1" t="s">
        <v>0</v>
      </c>
      <c r="B8" s="1" t="s">
        <v>9</v>
      </c>
      <c r="C8" s="1" t="s">
        <v>10</v>
      </c>
      <c r="D8" s="2">
        <v>423</v>
      </c>
      <c r="E8" s="2">
        <v>316</v>
      </c>
      <c r="F8" s="2">
        <v>329</v>
      </c>
      <c r="G8" s="2">
        <v>351</v>
      </c>
    </row>
    <row r="9" spans="1:7" x14ac:dyDescent="0.3">
      <c r="A9" s="1" t="s">
        <v>11</v>
      </c>
      <c r="B9" s="1" t="s">
        <v>12</v>
      </c>
      <c r="C9" s="1" t="s">
        <v>13</v>
      </c>
      <c r="D9" s="2">
        <v>2995</v>
      </c>
      <c r="E9" s="2">
        <v>3039</v>
      </c>
      <c r="F9" s="2">
        <v>2737.3</v>
      </c>
      <c r="G9" s="2">
        <v>3096.8</v>
      </c>
    </row>
    <row r="10" spans="1:7" x14ac:dyDescent="0.3">
      <c r="A10" s="1" t="s">
        <v>11</v>
      </c>
      <c r="B10" s="1" t="s">
        <v>12</v>
      </c>
      <c r="C10" s="1" t="s">
        <v>14</v>
      </c>
      <c r="D10" s="2">
        <v>2959</v>
      </c>
      <c r="E10" s="2">
        <v>2886</v>
      </c>
      <c r="F10" s="2">
        <v>2617.4</v>
      </c>
      <c r="G10" s="2">
        <v>2677.2</v>
      </c>
    </row>
    <row r="11" spans="1:7" x14ac:dyDescent="0.3">
      <c r="A11" s="1" t="s">
        <v>11</v>
      </c>
      <c r="B11" s="1" t="s">
        <v>12</v>
      </c>
      <c r="C11" s="1" t="s">
        <v>15</v>
      </c>
      <c r="D11" s="2">
        <v>2381</v>
      </c>
      <c r="E11" s="2">
        <v>2299</v>
      </c>
      <c r="F11" s="2">
        <v>2026.2</v>
      </c>
      <c r="G11" s="2">
        <v>2273.8000000000002</v>
      </c>
    </row>
    <row r="12" spans="1:7" x14ac:dyDescent="0.3">
      <c r="A12" s="1" t="s">
        <v>11</v>
      </c>
      <c r="B12" s="1" t="s">
        <v>16</v>
      </c>
      <c r="C12" s="1" t="s">
        <v>17</v>
      </c>
      <c r="D12" s="2">
        <v>2536</v>
      </c>
      <c r="E12" s="2">
        <v>2475</v>
      </c>
      <c r="F12" s="2">
        <v>2349.6999999999998</v>
      </c>
      <c r="G12" s="2">
        <v>2335</v>
      </c>
    </row>
    <row r="13" spans="1:7" x14ac:dyDescent="0.3">
      <c r="A13" s="1" t="s">
        <v>11</v>
      </c>
      <c r="B13" s="1" t="s">
        <v>18</v>
      </c>
      <c r="C13" s="1" t="s">
        <v>19</v>
      </c>
      <c r="D13" s="2">
        <v>339</v>
      </c>
      <c r="E13" s="2">
        <v>233</v>
      </c>
      <c r="F13" s="2">
        <v>244.8</v>
      </c>
      <c r="G13" s="2">
        <v>260.39999999999998</v>
      </c>
    </row>
    <row r="14" spans="1:7" x14ac:dyDescent="0.3">
      <c r="A14" s="1" t="s">
        <v>11</v>
      </c>
      <c r="B14" s="1" t="s">
        <v>18</v>
      </c>
      <c r="C14" s="1" t="s">
        <v>20</v>
      </c>
      <c r="D14" s="2">
        <v>2412</v>
      </c>
      <c r="E14" s="2">
        <v>2435</v>
      </c>
      <c r="F14" s="2">
        <v>2492.1999999999998</v>
      </c>
      <c r="G14" s="2">
        <v>2377.8000000000002</v>
      </c>
    </row>
    <row r="15" spans="1:7" x14ac:dyDescent="0.3">
      <c r="A15" s="1" t="s">
        <v>11</v>
      </c>
      <c r="B15" s="1" t="s">
        <v>18</v>
      </c>
      <c r="C15" s="1" t="s">
        <v>21</v>
      </c>
      <c r="D15" s="2">
        <v>447</v>
      </c>
      <c r="E15" s="2">
        <v>382</v>
      </c>
      <c r="F15" s="2">
        <v>370.4</v>
      </c>
      <c r="G15" s="2">
        <v>329.7</v>
      </c>
    </row>
    <row r="16" spans="1:7" x14ac:dyDescent="0.3">
      <c r="A16" s="1" t="s">
        <v>11</v>
      </c>
      <c r="B16" s="1" t="s">
        <v>18</v>
      </c>
      <c r="C16" s="1" t="s">
        <v>22</v>
      </c>
      <c r="D16" s="2">
        <v>139</v>
      </c>
      <c r="E16" s="2">
        <v>99</v>
      </c>
      <c r="F16" s="2">
        <v>973.6</v>
      </c>
      <c r="G16" s="2">
        <v>-483.3</v>
      </c>
    </row>
    <row r="17" spans="1:7" x14ac:dyDescent="0.3">
      <c r="A17" s="1" t="s">
        <v>11</v>
      </c>
      <c r="B17" s="1" t="s">
        <v>23</v>
      </c>
      <c r="C17" s="1" t="s">
        <v>24</v>
      </c>
      <c r="D17" s="2">
        <v>11712</v>
      </c>
      <c r="E17" s="2">
        <v>11647</v>
      </c>
      <c r="F17" s="2">
        <v>9371</v>
      </c>
      <c r="G17" s="2">
        <v>10356</v>
      </c>
    </row>
    <row r="18" spans="1:7" x14ac:dyDescent="0.3">
      <c r="A18" s="1" t="s">
        <v>11</v>
      </c>
      <c r="B18" s="1" t="s">
        <v>25</v>
      </c>
      <c r="C18" s="1" t="s">
        <v>26</v>
      </c>
      <c r="D18" s="2">
        <v>1506</v>
      </c>
      <c r="E18" s="2">
        <v>1361</v>
      </c>
      <c r="F18" s="2">
        <v>1207</v>
      </c>
      <c r="G18" s="2">
        <v>1185.8</v>
      </c>
    </row>
    <row r="19" spans="1:7" x14ac:dyDescent="0.3">
      <c r="A19" s="1" t="s">
        <v>11</v>
      </c>
      <c r="B19" s="1" t="s">
        <v>25</v>
      </c>
      <c r="C19" s="1" t="s">
        <v>27</v>
      </c>
      <c r="D19" s="2">
        <v>-139</v>
      </c>
      <c r="E19" s="2">
        <v>-236</v>
      </c>
      <c r="F19" s="2">
        <v>338.6</v>
      </c>
      <c r="G19" s="2">
        <v>42.3</v>
      </c>
    </row>
    <row r="20" spans="1:7" x14ac:dyDescent="0.3">
      <c r="A20" s="1" t="s">
        <v>11</v>
      </c>
      <c r="B20" s="1" t="s">
        <v>23</v>
      </c>
      <c r="C20" s="1" t="s">
        <v>28</v>
      </c>
      <c r="D20" s="2">
        <v>10345</v>
      </c>
      <c r="E20" s="2">
        <v>10522</v>
      </c>
      <c r="F20" s="2">
        <v>7825.4</v>
      </c>
      <c r="G20" s="2">
        <v>9127.9</v>
      </c>
    </row>
    <row r="21" spans="1:7" x14ac:dyDescent="0.3">
      <c r="A21" s="1" t="s">
        <v>11</v>
      </c>
      <c r="B21" s="1" t="s">
        <v>25</v>
      </c>
      <c r="C21" s="1" t="s">
        <v>29</v>
      </c>
      <c r="D21" s="2">
        <v>2121</v>
      </c>
      <c r="E21" s="2">
        <v>2053</v>
      </c>
      <c r="F21" s="2">
        <v>1648</v>
      </c>
      <c r="G21" s="2">
        <v>1582.7</v>
      </c>
    </row>
    <row r="22" spans="1:7" x14ac:dyDescent="0.3">
      <c r="A22" s="1" t="s">
        <v>11</v>
      </c>
      <c r="B22" s="1" t="s">
        <v>23</v>
      </c>
      <c r="C22" s="1" t="s">
        <v>30</v>
      </c>
      <c r="D22" s="2">
        <v>8223</v>
      </c>
      <c r="E22" s="2">
        <v>8469</v>
      </c>
      <c r="F22" s="2">
        <v>6177.4</v>
      </c>
      <c r="G22" s="2">
        <v>7545.2</v>
      </c>
    </row>
    <row r="23" spans="1:7" x14ac:dyDescent="0.3">
      <c r="A23" s="1" t="s">
        <v>31</v>
      </c>
      <c r="B23" s="1" t="s">
        <v>32</v>
      </c>
      <c r="C23" s="1" t="s">
        <v>33</v>
      </c>
      <c r="D23" s="2">
        <v>11.45</v>
      </c>
      <c r="E23" s="2">
        <v>12</v>
      </c>
      <c r="F23" s="2">
        <v>8.39</v>
      </c>
      <c r="G23" s="2">
        <v>10.11</v>
      </c>
    </row>
    <row r="24" spans="1:7" x14ac:dyDescent="0.3">
      <c r="A24" s="1" t="s">
        <v>31</v>
      </c>
      <c r="B24" s="1" t="s">
        <v>32</v>
      </c>
      <c r="C24" s="1" t="s">
        <v>34</v>
      </c>
      <c r="D24" s="2">
        <v>11.39</v>
      </c>
      <c r="E24" s="2">
        <v>12</v>
      </c>
      <c r="F24" s="2">
        <v>8.33</v>
      </c>
      <c r="G24" s="2">
        <v>10.039999999999999</v>
      </c>
    </row>
    <row r="25" spans="1:7" x14ac:dyDescent="0.3">
      <c r="A25" s="1" t="s">
        <v>31</v>
      </c>
      <c r="B25" s="1" t="s">
        <v>32</v>
      </c>
      <c r="C25" s="1" t="s">
        <v>35</v>
      </c>
      <c r="D25" s="2">
        <v>6.78</v>
      </c>
      <c r="E25" s="2">
        <v>6</v>
      </c>
      <c r="F25" s="2">
        <v>5.66</v>
      </c>
      <c r="G25" s="2">
        <v>5.25</v>
      </c>
    </row>
    <row r="26" spans="1:7" x14ac:dyDescent="0.3">
      <c r="A26" s="1" t="s">
        <v>31</v>
      </c>
      <c r="B26" s="1" t="s">
        <v>32</v>
      </c>
      <c r="C26" s="1" t="s">
        <v>36</v>
      </c>
      <c r="D26" s="2">
        <v>718.3</v>
      </c>
      <c r="E26" s="2">
        <v>728</v>
      </c>
      <c r="F26" s="2">
        <v>736.5</v>
      </c>
      <c r="G26" s="2">
        <v>746.3</v>
      </c>
    </row>
    <row r="27" spans="1:7" x14ac:dyDescent="0.3">
      <c r="A27" s="1" t="s">
        <v>31</v>
      </c>
      <c r="B27" s="1" t="s">
        <v>32</v>
      </c>
      <c r="C27" s="1" t="s">
        <v>37</v>
      </c>
      <c r="D27" s="2">
        <v>721.9</v>
      </c>
      <c r="E27" s="2">
        <v>732</v>
      </c>
      <c r="F27" s="2">
        <v>741.3</v>
      </c>
      <c r="G27" s="2">
        <v>751.8</v>
      </c>
    </row>
    <row r="28" spans="1:7" x14ac:dyDescent="0.3">
      <c r="A28" s="1" t="s">
        <v>38</v>
      </c>
      <c r="B28" s="1" t="s">
        <v>39</v>
      </c>
      <c r="C28" s="1" t="s">
        <v>40</v>
      </c>
      <c r="D28" s="2">
        <v>1085</v>
      </c>
      <c r="E28" s="2">
        <v>4579</v>
      </c>
      <c r="F28" s="2">
        <v>2583.8000000000002</v>
      </c>
      <c r="G28" s="2">
        <v>4709.2</v>
      </c>
    </row>
    <row r="29" spans="1:7" x14ac:dyDescent="0.3">
      <c r="A29" s="1" t="s">
        <v>38</v>
      </c>
      <c r="B29" s="1" t="s">
        <v>39</v>
      </c>
      <c r="C29" s="1" t="s">
        <v>41</v>
      </c>
      <c r="D29" s="2">
        <v>2383</v>
      </c>
      <c r="E29" s="2">
        <v>2488</v>
      </c>
      <c r="F29" s="2">
        <v>2115</v>
      </c>
      <c r="G29" s="2">
        <v>1872.4</v>
      </c>
    </row>
    <row r="30" spans="1:7" x14ac:dyDescent="0.3">
      <c r="A30" s="1" t="s">
        <v>38</v>
      </c>
      <c r="B30" s="1" t="s">
        <v>39</v>
      </c>
      <c r="C30" s="1" t="s">
        <v>42</v>
      </c>
      <c r="D30" s="2">
        <v>56</v>
      </c>
      <c r="E30" s="2">
        <v>53</v>
      </c>
      <c r="F30" s="2">
        <v>52</v>
      </c>
      <c r="G30" s="2">
        <v>55.6</v>
      </c>
    </row>
    <row r="31" spans="1:7" x14ac:dyDescent="0.3">
      <c r="A31" s="1" t="s">
        <v>38</v>
      </c>
      <c r="B31" s="1" t="s">
        <v>39</v>
      </c>
      <c r="C31" s="1" t="s">
        <v>43</v>
      </c>
      <c r="D31" s="2">
        <v>1074</v>
      </c>
      <c r="E31" s="2">
        <v>866</v>
      </c>
      <c r="F31" s="2">
        <v>673.4</v>
      </c>
      <c r="G31" s="2">
        <v>511.3</v>
      </c>
    </row>
    <row r="32" spans="1:7" x14ac:dyDescent="0.3">
      <c r="A32" s="1" t="s">
        <v>38</v>
      </c>
      <c r="B32" s="1" t="s">
        <v>44</v>
      </c>
      <c r="C32" s="1" t="s">
        <v>45</v>
      </c>
      <c r="D32" s="2">
        <v>2710</v>
      </c>
      <c r="E32" s="2">
        <v>1080</v>
      </c>
      <c r="F32" s="2">
        <v>1064.5</v>
      </c>
      <c r="G32" s="2">
        <v>1201.2</v>
      </c>
    </row>
    <row r="33" spans="1:7" x14ac:dyDescent="0.3">
      <c r="A33" s="1" t="s">
        <v>38</v>
      </c>
      <c r="B33" s="1" t="s">
        <v>44</v>
      </c>
      <c r="C33" s="1" t="s">
        <v>46</v>
      </c>
      <c r="D33" s="2">
        <v>3145</v>
      </c>
      <c r="E33" s="2">
        <v>3040</v>
      </c>
      <c r="F33" s="2">
        <v>2900.4</v>
      </c>
      <c r="G33" s="2">
        <v>2782.5</v>
      </c>
    </row>
    <row r="34" spans="1:7" x14ac:dyDescent="0.3">
      <c r="A34" s="1" t="s">
        <v>38</v>
      </c>
      <c r="B34" s="1" t="s">
        <v>44</v>
      </c>
      <c r="C34" s="1" t="s">
        <v>47</v>
      </c>
      <c r="D34" s="2">
        <v>6095</v>
      </c>
      <c r="E34" s="2">
        <v>5618</v>
      </c>
      <c r="F34" s="2">
        <v>4707.2</v>
      </c>
      <c r="G34" s="2">
        <v>4449.5</v>
      </c>
    </row>
    <row r="35" spans="1:7" x14ac:dyDescent="0.3">
      <c r="A35" s="1" t="s">
        <v>38</v>
      </c>
      <c r="B35" s="1" t="s">
        <v>48</v>
      </c>
      <c r="C35" s="1" t="s">
        <v>49</v>
      </c>
      <c r="D35" s="2">
        <v>13339</v>
      </c>
      <c r="E35" s="2">
        <v>13514</v>
      </c>
      <c r="F35" s="2">
        <v>12565.7</v>
      </c>
      <c r="G35" s="2">
        <v>13552</v>
      </c>
    </row>
    <row r="36" spans="1:7" x14ac:dyDescent="0.3">
      <c r="A36" s="1" t="s">
        <v>38</v>
      </c>
      <c r="B36" s="1" t="s">
        <v>48</v>
      </c>
      <c r="C36" s="1" t="s">
        <v>50</v>
      </c>
      <c r="D36" s="2">
        <v>44177</v>
      </c>
      <c r="E36" s="2">
        <v>43570</v>
      </c>
      <c r="F36" s="2">
        <v>41037.599999999999</v>
      </c>
      <c r="G36" s="2">
        <v>41916.6</v>
      </c>
    </row>
    <row r="37" spans="1:7" x14ac:dyDescent="0.3">
      <c r="A37" s="1" t="s">
        <v>38</v>
      </c>
      <c r="B37" s="1" t="s">
        <v>48</v>
      </c>
      <c r="C37" s="1" t="s">
        <v>51</v>
      </c>
      <c r="D37" s="2">
        <v>-18882</v>
      </c>
      <c r="E37" s="2">
        <v>-18662</v>
      </c>
      <c r="F37" s="2">
        <v>-17264</v>
      </c>
      <c r="G37" s="2">
        <v>-17196</v>
      </c>
    </row>
    <row r="38" spans="1:7" x14ac:dyDescent="0.3">
      <c r="A38" s="1" t="s">
        <v>52</v>
      </c>
      <c r="B38" s="1" t="s">
        <v>53</v>
      </c>
      <c r="C38" s="1" t="s">
        <v>54</v>
      </c>
      <c r="D38" s="2">
        <v>0</v>
      </c>
      <c r="E38" s="2">
        <v>2192</v>
      </c>
      <c r="F38" s="2">
        <v>0</v>
      </c>
      <c r="G38" s="2">
        <v>0</v>
      </c>
    </row>
    <row r="39" spans="1:7" x14ac:dyDescent="0.3">
      <c r="A39" s="1" t="s">
        <v>52</v>
      </c>
      <c r="B39" s="1" t="s">
        <v>53</v>
      </c>
      <c r="C39" s="1" t="s">
        <v>55</v>
      </c>
      <c r="D39" s="2">
        <v>1029</v>
      </c>
      <c r="E39" s="2">
        <v>1103</v>
      </c>
      <c r="F39" s="2">
        <v>980.2</v>
      </c>
      <c r="G39" s="2">
        <v>1006.8</v>
      </c>
    </row>
    <row r="40" spans="1:7" x14ac:dyDescent="0.3">
      <c r="A40" s="1" t="s">
        <v>52</v>
      </c>
      <c r="B40" s="1" t="s">
        <v>53</v>
      </c>
      <c r="C40" s="1" t="s">
        <v>56</v>
      </c>
      <c r="D40" s="2">
        <v>636</v>
      </c>
      <c r="E40" s="2">
        <v>688</v>
      </c>
      <c r="F40" s="2">
        <v>661.1</v>
      </c>
      <c r="G40" s="2">
        <v>705.5</v>
      </c>
    </row>
    <row r="41" spans="1:7" x14ac:dyDescent="0.3">
      <c r="A41" s="1" t="s">
        <v>52</v>
      </c>
      <c r="B41" s="1" t="s">
        <v>53</v>
      </c>
      <c r="C41" s="1" t="s">
        <v>57</v>
      </c>
      <c r="D41" s="2">
        <v>361</v>
      </c>
      <c r="E41" s="2">
        <v>705</v>
      </c>
      <c r="F41" s="2">
        <v>274.89999999999998</v>
      </c>
      <c r="G41" s="2">
        <v>360.7</v>
      </c>
    </row>
    <row r="42" spans="1:7" x14ac:dyDescent="0.3">
      <c r="A42" s="1" t="s">
        <v>52</v>
      </c>
      <c r="B42" s="1" t="s">
        <v>53</v>
      </c>
      <c r="C42" s="1" t="s">
        <v>58</v>
      </c>
      <c r="D42" s="2">
        <v>224</v>
      </c>
      <c r="E42" s="2">
        <v>268</v>
      </c>
      <c r="F42" s="2">
        <v>255.1</v>
      </c>
      <c r="G42" s="2">
        <v>236.7</v>
      </c>
    </row>
    <row r="43" spans="1:7" x14ac:dyDescent="0.3">
      <c r="A43" s="1" t="s">
        <v>52</v>
      </c>
      <c r="B43" s="1" t="s">
        <v>53</v>
      </c>
      <c r="C43" s="1" t="s">
        <v>59</v>
      </c>
      <c r="D43" s="2">
        <v>482</v>
      </c>
      <c r="E43" s="2">
        <v>469</v>
      </c>
      <c r="F43" s="2">
        <v>393.4</v>
      </c>
      <c r="G43" s="2">
        <v>363.3</v>
      </c>
    </row>
    <row r="44" spans="1:7" x14ac:dyDescent="0.3">
      <c r="A44" s="1" t="s">
        <v>52</v>
      </c>
      <c r="B44" s="1" t="s">
        <v>53</v>
      </c>
      <c r="C44" s="1" t="s">
        <v>60</v>
      </c>
      <c r="D44" s="2">
        <v>1129</v>
      </c>
      <c r="E44" s="2">
        <v>1434</v>
      </c>
      <c r="F44" s="2">
        <v>1237.4000000000001</v>
      </c>
      <c r="G44" s="2">
        <v>1347</v>
      </c>
    </row>
    <row r="45" spans="1:7" x14ac:dyDescent="0.3">
      <c r="A45" s="1" t="s">
        <v>52</v>
      </c>
      <c r="B45" s="1" t="s">
        <v>61</v>
      </c>
      <c r="C45" s="1" t="s">
        <v>62</v>
      </c>
      <c r="D45" s="2">
        <v>38424</v>
      </c>
      <c r="E45" s="2">
        <v>37153</v>
      </c>
      <c r="F45" s="2">
        <v>35903.5</v>
      </c>
      <c r="G45" s="2">
        <v>35622.699999999997</v>
      </c>
    </row>
    <row r="46" spans="1:7" x14ac:dyDescent="0.3">
      <c r="A46" s="1" t="s">
        <v>52</v>
      </c>
      <c r="B46" s="1" t="s">
        <v>61</v>
      </c>
      <c r="C46" s="1" t="s">
        <v>63</v>
      </c>
      <c r="D46" s="2">
        <v>12888</v>
      </c>
      <c r="E46" s="2">
        <v>13058</v>
      </c>
      <c r="F46" s="2">
        <v>12134.4</v>
      </c>
      <c r="G46" s="2">
        <v>13020.9</v>
      </c>
    </row>
    <row r="47" spans="1:7" x14ac:dyDescent="0.3">
      <c r="A47" s="1" t="s">
        <v>52</v>
      </c>
      <c r="B47" s="1" t="s">
        <v>61</v>
      </c>
      <c r="C47" s="1" t="s">
        <v>64</v>
      </c>
      <c r="D47" s="2">
        <v>344</v>
      </c>
      <c r="E47" s="2">
        <v>363</v>
      </c>
      <c r="F47" s="2">
        <v>791.9</v>
      </c>
      <c r="G47" s="2">
        <v>1896.8</v>
      </c>
    </row>
    <row r="48" spans="1:7" x14ac:dyDescent="0.3">
      <c r="A48" s="1" t="s">
        <v>52</v>
      </c>
      <c r="B48" s="1" t="s">
        <v>61</v>
      </c>
      <c r="C48" s="1" t="s">
        <v>65</v>
      </c>
      <c r="D48" s="2">
        <v>778</v>
      </c>
      <c r="E48" s="2">
        <v>790</v>
      </c>
      <c r="F48" s="2">
        <v>757.8</v>
      </c>
      <c r="G48" s="2">
        <v>738.3</v>
      </c>
    </row>
    <row r="49" spans="1:7" x14ac:dyDescent="0.3">
      <c r="A49" s="1" t="s">
        <v>52</v>
      </c>
      <c r="B49" s="1" t="s">
        <v>61</v>
      </c>
      <c r="C49" s="1" t="s">
        <v>66</v>
      </c>
      <c r="D49" s="2">
        <v>771</v>
      </c>
      <c r="E49" s="2">
        <v>950</v>
      </c>
      <c r="F49" s="2">
        <v>1051.8</v>
      </c>
      <c r="G49" s="2">
        <v>1081</v>
      </c>
    </row>
    <row r="50" spans="1:7" x14ac:dyDescent="0.3">
      <c r="A50" s="1" t="s">
        <v>52</v>
      </c>
      <c r="B50" s="1" t="s">
        <v>61</v>
      </c>
      <c r="C50" s="1" t="s">
        <v>67</v>
      </c>
      <c r="D50" s="2">
        <v>1914</v>
      </c>
      <c r="E50" s="2">
        <v>1681</v>
      </c>
      <c r="F50" s="2">
        <v>1997.5</v>
      </c>
      <c r="G50" s="2">
        <v>2075.6</v>
      </c>
    </row>
    <row r="51" spans="1:7" x14ac:dyDescent="0.3">
      <c r="A51" s="1" t="s">
        <v>52</v>
      </c>
      <c r="B51" s="1" t="s">
        <v>68</v>
      </c>
      <c r="C51" s="1" t="s">
        <v>69</v>
      </c>
      <c r="D51" s="2">
        <v>0</v>
      </c>
      <c r="E51" s="2">
        <v>0</v>
      </c>
      <c r="F51" s="2">
        <v>0</v>
      </c>
      <c r="G51" s="2">
        <v>0</v>
      </c>
    </row>
    <row r="52" spans="1:7" x14ac:dyDescent="0.3">
      <c r="A52" s="1" t="s">
        <v>52</v>
      </c>
      <c r="B52" s="1" t="s">
        <v>68</v>
      </c>
      <c r="C52" s="1" t="s">
        <v>70</v>
      </c>
      <c r="D52" s="2">
        <v>17</v>
      </c>
      <c r="E52" s="2">
        <v>17</v>
      </c>
      <c r="F52" s="2">
        <v>16.600000000000001</v>
      </c>
      <c r="G52" s="2">
        <v>16.600000000000001</v>
      </c>
    </row>
    <row r="53" spans="1:7" x14ac:dyDescent="0.3">
      <c r="A53" s="1" t="s">
        <v>52</v>
      </c>
      <c r="B53" s="1" t="s">
        <v>68</v>
      </c>
      <c r="C53" s="1" t="s">
        <v>71</v>
      </c>
      <c r="D53" s="2">
        <v>9281</v>
      </c>
      <c r="E53" s="2">
        <v>8893</v>
      </c>
      <c r="F53" s="2">
        <v>8547.1</v>
      </c>
      <c r="G53" s="2">
        <v>8231.6</v>
      </c>
    </row>
    <row r="54" spans="1:7" x14ac:dyDescent="0.3">
      <c r="A54" s="1" t="s">
        <v>52</v>
      </c>
      <c r="B54" s="1" t="s">
        <v>68</v>
      </c>
      <c r="C54" s="1" t="s">
        <v>72</v>
      </c>
      <c r="D54" s="2">
        <v>66834</v>
      </c>
      <c r="E54" s="2">
        <v>63480</v>
      </c>
      <c r="F54" s="2">
        <v>59543.9</v>
      </c>
      <c r="G54" s="2">
        <v>57534.7</v>
      </c>
    </row>
    <row r="55" spans="1:7" x14ac:dyDescent="0.3">
      <c r="A55" s="1" t="s">
        <v>52</v>
      </c>
      <c r="B55" s="1" t="s">
        <v>68</v>
      </c>
      <c r="C55" s="1" t="s">
        <v>73</v>
      </c>
      <c r="D55" s="2">
        <v>-2553</v>
      </c>
      <c r="E55" s="2">
        <v>-2456</v>
      </c>
      <c r="F55" s="2">
        <v>-2486.6</v>
      </c>
      <c r="G55" s="2">
        <v>-2573.6999999999998</v>
      </c>
    </row>
    <row r="56" spans="1:7" x14ac:dyDescent="0.3">
      <c r="A56" s="1" t="s">
        <v>52</v>
      </c>
      <c r="B56" s="1" t="s">
        <v>68</v>
      </c>
      <c r="C56" s="1" t="s">
        <v>74</v>
      </c>
      <c r="D56" s="2">
        <v>-77375</v>
      </c>
      <c r="E56" s="2">
        <v>-74640</v>
      </c>
      <c r="F56" s="2">
        <v>-71624.399999999994</v>
      </c>
      <c r="G56" s="2">
        <v>-67810.2</v>
      </c>
    </row>
    <row r="57" spans="1:7" x14ac:dyDescent="0.3">
      <c r="A57" s="1" t="s">
        <v>75</v>
      </c>
      <c r="B57" s="1" t="s">
        <v>30</v>
      </c>
      <c r="C57" s="1" t="s">
        <v>76</v>
      </c>
      <c r="D57" s="2">
        <v>8223</v>
      </c>
      <c r="E57" s="2">
        <v>8469</v>
      </c>
      <c r="F57" s="2">
        <v>6177</v>
      </c>
      <c r="G57" s="2">
        <v>7545.2</v>
      </c>
    </row>
    <row r="58" spans="1:7" x14ac:dyDescent="0.3">
      <c r="A58" s="1" t="s">
        <v>75</v>
      </c>
      <c r="B58" s="1" t="s">
        <v>77</v>
      </c>
      <c r="C58" s="1" t="s">
        <v>78</v>
      </c>
      <c r="D58" s="2">
        <v>2097</v>
      </c>
      <c r="E58" s="2">
        <v>1978</v>
      </c>
      <c r="F58" s="2">
        <v>1871</v>
      </c>
      <c r="G58" s="2">
        <v>1868.1</v>
      </c>
    </row>
    <row r="59" spans="1:7" x14ac:dyDescent="0.3">
      <c r="A59" s="1" t="s">
        <v>75</v>
      </c>
      <c r="B59" s="1" t="s">
        <v>77</v>
      </c>
      <c r="C59" s="1" t="s">
        <v>79</v>
      </c>
      <c r="D59" s="2">
        <v>-574</v>
      </c>
      <c r="E59" s="2">
        <v>-686</v>
      </c>
      <c r="F59" s="2">
        <v>-346</v>
      </c>
      <c r="G59" s="2">
        <v>-428.3</v>
      </c>
    </row>
    <row r="60" spans="1:7" x14ac:dyDescent="0.3">
      <c r="A60" s="1" t="s">
        <v>75</v>
      </c>
      <c r="B60" s="1" t="s">
        <v>77</v>
      </c>
      <c r="C60" s="1" t="s">
        <v>80</v>
      </c>
      <c r="D60" s="2">
        <v>172</v>
      </c>
      <c r="E60" s="2">
        <v>175</v>
      </c>
      <c r="F60" s="2">
        <v>167</v>
      </c>
      <c r="G60" s="2">
        <v>139.19999999999999</v>
      </c>
    </row>
    <row r="61" spans="1:7" x14ac:dyDescent="0.3">
      <c r="A61" s="1" t="s">
        <v>75</v>
      </c>
      <c r="B61" s="1" t="s">
        <v>77</v>
      </c>
      <c r="C61" s="1" t="s">
        <v>81</v>
      </c>
      <c r="D61" s="2">
        <v>-37</v>
      </c>
      <c r="E61" s="2">
        <v>-103</v>
      </c>
      <c r="F61" s="2">
        <v>733</v>
      </c>
      <c r="G61" s="2">
        <v>-97.8</v>
      </c>
    </row>
    <row r="62" spans="1:7" x14ac:dyDescent="0.3">
      <c r="A62" s="1" t="s">
        <v>75</v>
      </c>
      <c r="B62" s="1" t="s">
        <v>77</v>
      </c>
      <c r="C62" s="1" t="s">
        <v>82</v>
      </c>
      <c r="D62" s="2">
        <v>3</v>
      </c>
      <c r="E62" s="2">
        <v>-113</v>
      </c>
      <c r="F62" s="2">
        <v>-570</v>
      </c>
      <c r="G62" s="2">
        <v>-339.1</v>
      </c>
    </row>
    <row r="63" spans="1:7" x14ac:dyDescent="0.3">
      <c r="A63" s="1" t="s">
        <v>75</v>
      </c>
      <c r="B63" s="1" t="s">
        <v>83</v>
      </c>
      <c r="C63" s="1" t="s">
        <v>84</v>
      </c>
      <c r="D63" s="2">
        <v>10</v>
      </c>
      <c r="E63" s="2">
        <v>-161</v>
      </c>
      <c r="F63" s="2">
        <v>-264</v>
      </c>
      <c r="G63" s="2">
        <v>309.89999999999998</v>
      </c>
    </row>
    <row r="64" spans="1:7" x14ac:dyDescent="0.3">
      <c r="A64" s="1" t="s">
        <v>75</v>
      </c>
      <c r="B64" s="1" t="s">
        <v>83</v>
      </c>
      <c r="C64" s="1" t="s">
        <v>85</v>
      </c>
      <c r="D64" s="2">
        <v>71</v>
      </c>
      <c r="E64" s="2">
        <v>17</v>
      </c>
      <c r="F64" s="2">
        <v>6</v>
      </c>
      <c r="G64" s="2">
        <v>-62.2</v>
      </c>
    </row>
    <row r="65" spans="1:7" x14ac:dyDescent="0.3">
      <c r="A65" s="1" t="s">
        <v>75</v>
      </c>
      <c r="B65" s="1" t="s">
        <v>83</v>
      </c>
      <c r="C65" s="1" t="s">
        <v>86</v>
      </c>
      <c r="D65" s="2">
        <v>-10</v>
      </c>
      <c r="E65" s="2">
        <v>50</v>
      </c>
      <c r="F65" s="2">
        <v>31</v>
      </c>
      <c r="G65" s="2">
        <v>225</v>
      </c>
    </row>
    <row r="66" spans="1:7" x14ac:dyDescent="0.3">
      <c r="A66" s="1" t="s">
        <v>75</v>
      </c>
      <c r="B66" s="1" t="s">
        <v>83</v>
      </c>
      <c r="C66" s="1" t="s">
        <v>87</v>
      </c>
      <c r="D66" s="2">
        <v>-292</v>
      </c>
      <c r="E66" s="2">
        <v>-220</v>
      </c>
      <c r="F66" s="2">
        <v>-547</v>
      </c>
      <c r="G66" s="2">
        <v>-302.5</v>
      </c>
    </row>
    <row r="67" spans="1:7" x14ac:dyDescent="0.3">
      <c r="A67" s="1" t="s">
        <v>75</v>
      </c>
      <c r="B67" s="1" t="s">
        <v>83</v>
      </c>
      <c r="C67" s="1" t="s">
        <v>88</v>
      </c>
      <c r="D67" s="2">
        <v>-217</v>
      </c>
      <c r="E67" s="2">
        <v>206</v>
      </c>
      <c r="F67" s="2">
        <v>129</v>
      </c>
      <c r="G67" s="2">
        <v>284</v>
      </c>
    </row>
    <row r="68" spans="1:7" x14ac:dyDescent="0.3">
      <c r="A68" s="1" t="s">
        <v>75</v>
      </c>
      <c r="B68" s="1" t="s">
        <v>89</v>
      </c>
      <c r="C68" s="1" t="s">
        <v>90</v>
      </c>
      <c r="D68" s="2">
        <v>-2775</v>
      </c>
      <c r="E68" s="2">
        <v>-2357</v>
      </c>
      <c r="F68" s="2">
        <v>-1899</v>
      </c>
      <c r="G68" s="2">
        <v>-2040</v>
      </c>
    </row>
    <row r="69" spans="1:7" x14ac:dyDescent="0.3">
      <c r="A69" s="1" t="s">
        <v>75</v>
      </c>
      <c r="B69" s="1" t="s">
        <v>89</v>
      </c>
      <c r="C69" s="1" t="s">
        <v>91</v>
      </c>
      <c r="D69" s="2">
        <v>-669</v>
      </c>
      <c r="E69" s="2">
        <v>-441</v>
      </c>
      <c r="F69" s="2">
        <v>-807</v>
      </c>
      <c r="G69" s="2">
        <v>-374.2</v>
      </c>
    </row>
    <row r="70" spans="1:7" x14ac:dyDescent="0.3">
      <c r="A70" s="1" t="s">
        <v>75</v>
      </c>
      <c r="B70" s="1" t="s">
        <v>89</v>
      </c>
      <c r="C70" s="1" t="s">
        <v>92</v>
      </c>
      <c r="D70" s="2">
        <v>-1837</v>
      </c>
      <c r="E70" s="2">
        <v>0</v>
      </c>
      <c r="F70" s="2">
        <v>0</v>
      </c>
      <c r="G70" s="2">
        <v>0</v>
      </c>
    </row>
    <row r="71" spans="1:7" x14ac:dyDescent="0.3">
      <c r="A71" s="1" t="s">
        <v>75</v>
      </c>
      <c r="B71" s="1" t="s">
        <v>89</v>
      </c>
      <c r="C71" s="1" t="s">
        <v>93</v>
      </c>
      <c r="D71" s="2">
        <v>311</v>
      </c>
      <c r="E71" s="2">
        <v>195</v>
      </c>
      <c r="F71" s="2">
        <v>446</v>
      </c>
      <c r="G71" s="2">
        <v>196.2</v>
      </c>
    </row>
    <row r="72" spans="1:7" x14ac:dyDescent="0.3">
      <c r="A72" s="1" t="s">
        <v>75</v>
      </c>
      <c r="B72" s="1" t="s">
        <v>89</v>
      </c>
      <c r="C72" s="1" t="s">
        <v>94</v>
      </c>
      <c r="D72" s="2">
        <v>122</v>
      </c>
      <c r="E72" s="2">
        <v>95</v>
      </c>
      <c r="F72" s="2">
        <v>39</v>
      </c>
      <c r="G72" s="2">
        <v>106.2</v>
      </c>
    </row>
    <row r="73" spans="1:7" x14ac:dyDescent="0.3">
      <c r="A73" s="1" t="s">
        <v>75</v>
      </c>
      <c r="B73" s="1" t="s">
        <v>89</v>
      </c>
      <c r="C73" s="1" t="s">
        <v>95</v>
      </c>
      <c r="D73" s="2">
        <v>-498</v>
      </c>
      <c r="E73" s="2">
        <v>-676</v>
      </c>
      <c r="F73" s="2">
        <v>-457</v>
      </c>
      <c r="G73" s="2">
        <v>-53.9</v>
      </c>
    </row>
    <row r="74" spans="1:7" x14ac:dyDescent="0.3">
      <c r="A74" s="1" t="s">
        <v>75</v>
      </c>
      <c r="B74" s="1" t="s">
        <v>96</v>
      </c>
      <c r="C74" s="1" t="s">
        <v>97</v>
      </c>
      <c r="D74" s="2">
        <v>326</v>
      </c>
      <c r="E74" s="2">
        <v>213</v>
      </c>
      <c r="F74" s="2">
        <v>26</v>
      </c>
      <c r="G74" s="2">
        <v>15.1</v>
      </c>
    </row>
    <row r="75" spans="1:7" x14ac:dyDescent="0.3">
      <c r="A75" s="1" t="s">
        <v>75</v>
      </c>
      <c r="B75" s="1" t="s">
        <v>96</v>
      </c>
      <c r="C75" s="1" t="s">
        <v>98</v>
      </c>
      <c r="D75" s="2">
        <v>2380</v>
      </c>
      <c r="E75" s="2">
        <v>5221</v>
      </c>
      <c r="F75" s="2">
        <v>3374</v>
      </c>
      <c r="G75" s="2">
        <v>1154.4000000000001</v>
      </c>
    </row>
    <row r="76" spans="1:7" x14ac:dyDescent="0.3">
      <c r="A76" s="1" t="s">
        <v>75</v>
      </c>
      <c r="B76" s="1" t="s">
        <v>96</v>
      </c>
      <c r="C76" s="1" t="s">
        <v>99</v>
      </c>
      <c r="D76" s="2">
        <v>-2777</v>
      </c>
      <c r="E76" s="2">
        <v>-2441</v>
      </c>
      <c r="F76" s="2">
        <v>-2202</v>
      </c>
      <c r="G76" s="2">
        <v>-2240.9</v>
      </c>
    </row>
    <row r="77" spans="1:7" x14ac:dyDescent="0.3">
      <c r="A77" s="1" t="s">
        <v>75</v>
      </c>
      <c r="B77" s="1" t="s">
        <v>96</v>
      </c>
      <c r="C77" s="1" t="s">
        <v>100</v>
      </c>
      <c r="D77" s="2">
        <v>-2824</v>
      </c>
      <c r="E77" s="2">
        <v>-3054</v>
      </c>
      <c r="F77" s="2">
        <v>-3896</v>
      </c>
      <c r="G77" s="2">
        <v>-845.5</v>
      </c>
    </row>
    <row r="78" spans="1:7" x14ac:dyDescent="0.3">
      <c r="A78" s="1" t="s">
        <v>75</v>
      </c>
      <c r="B78" s="1" t="s">
        <v>96</v>
      </c>
      <c r="C78" s="1" t="s">
        <v>101</v>
      </c>
      <c r="D78" s="2">
        <v>-4870</v>
      </c>
      <c r="E78" s="2">
        <v>-4533</v>
      </c>
      <c r="F78" s="2">
        <v>-4168</v>
      </c>
      <c r="G78" s="2">
        <v>-3918.6</v>
      </c>
    </row>
    <row r="79" spans="1:7" x14ac:dyDescent="0.3">
      <c r="A79" s="1" t="s">
        <v>75</v>
      </c>
      <c r="B79" s="1" t="s">
        <v>96</v>
      </c>
      <c r="C79" s="1" t="s">
        <v>102</v>
      </c>
      <c r="D79" s="2">
        <v>328</v>
      </c>
      <c r="E79" s="2">
        <v>260</v>
      </c>
      <c r="F79" s="2">
        <v>248</v>
      </c>
      <c r="G79" s="2">
        <v>285.7</v>
      </c>
    </row>
    <row r="80" spans="1:7" x14ac:dyDescent="0.3">
      <c r="A80" s="1" t="s">
        <v>75</v>
      </c>
      <c r="B80" s="1" t="s">
        <v>96</v>
      </c>
      <c r="C80" s="1" t="s">
        <v>103</v>
      </c>
      <c r="D80" s="2">
        <v>-56</v>
      </c>
      <c r="E80" s="2">
        <v>-40</v>
      </c>
      <c r="F80" s="2">
        <v>38</v>
      </c>
      <c r="G80" s="2">
        <v>-46.7</v>
      </c>
    </row>
    <row r="81" spans="1:7" x14ac:dyDescent="0.3">
      <c r="A81" s="1" t="s">
        <v>75</v>
      </c>
      <c r="B81" s="1" t="s">
        <v>104</v>
      </c>
      <c r="C81" s="1" t="s">
        <v>104</v>
      </c>
      <c r="D81" s="2">
        <v>-101</v>
      </c>
      <c r="E81" s="2">
        <v>-58</v>
      </c>
      <c r="F81" s="2">
        <v>-254</v>
      </c>
      <c r="G81" s="2">
        <v>-120.1</v>
      </c>
    </row>
    <row r="82" spans="1:7" x14ac:dyDescent="0.3">
      <c r="A82" s="1" t="s">
        <v>75</v>
      </c>
      <c r="B82" s="1" t="s">
        <v>105</v>
      </c>
      <c r="C82" s="1" t="s">
        <v>105</v>
      </c>
      <c r="D82" s="2">
        <v>-3495</v>
      </c>
      <c r="E82" s="2">
        <v>1996</v>
      </c>
      <c r="F82" s="2">
        <v>-2126</v>
      </c>
      <c r="G82" s="2">
        <v>1260</v>
      </c>
    </row>
    <row r="83" spans="1:7" x14ac:dyDescent="0.3">
      <c r="A83" s="1" t="s">
        <v>75</v>
      </c>
      <c r="B83" s="1" t="s">
        <v>106</v>
      </c>
      <c r="C83" s="1" t="s">
        <v>106</v>
      </c>
      <c r="D83" s="2">
        <v>4579</v>
      </c>
      <c r="E83" s="2">
        <v>2584</v>
      </c>
      <c r="F83" s="2">
        <v>4709</v>
      </c>
      <c r="G83" s="2">
        <v>3449.9</v>
      </c>
    </row>
    <row r="84" spans="1:7" x14ac:dyDescent="0.3">
      <c r="A84" s="1" t="s">
        <v>75</v>
      </c>
      <c r="B84" s="1" t="s">
        <v>107</v>
      </c>
      <c r="C84" s="1" t="s">
        <v>107</v>
      </c>
      <c r="D84" s="2">
        <v>1085</v>
      </c>
      <c r="E84" s="2">
        <v>4579</v>
      </c>
      <c r="F84" s="2">
        <v>2584</v>
      </c>
      <c r="G84" s="2">
        <v>4709.2</v>
      </c>
    </row>
    <row r="85" spans="1:7" x14ac:dyDescent="0.3">
      <c r="A85" s="1" t="s">
        <v>75</v>
      </c>
      <c r="B85" s="1" t="s">
        <v>108</v>
      </c>
      <c r="C85" s="1" t="s">
        <v>108</v>
      </c>
      <c r="D85" s="2">
        <v>1523</v>
      </c>
      <c r="E85" s="2">
        <v>1287</v>
      </c>
      <c r="F85" s="2">
        <v>1184</v>
      </c>
      <c r="G85" s="2">
        <v>1197</v>
      </c>
    </row>
    <row r="86" spans="1:7" x14ac:dyDescent="0.3">
      <c r="A86" s="1" t="s">
        <v>75</v>
      </c>
      <c r="B86" s="1" t="s">
        <v>109</v>
      </c>
      <c r="C86" s="1" t="s">
        <v>109</v>
      </c>
      <c r="D86" s="2">
        <v>2974</v>
      </c>
      <c r="E86" s="2">
        <v>2993</v>
      </c>
      <c r="F86" s="2">
        <v>3024</v>
      </c>
      <c r="G86" s="2">
        <v>2404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CFD7-7039-45E1-89D9-C8C29F794063}">
  <dimension ref="A3:E30"/>
  <sheetViews>
    <sheetView workbookViewId="0">
      <selection activeCell="A3" sqref="A3:E30"/>
    </sheetView>
  </sheetViews>
  <sheetFormatPr defaultRowHeight="14.4" x14ac:dyDescent="0.3"/>
  <cols>
    <col min="1" max="1" width="36.5546875" bestFit="1" customWidth="1"/>
    <col min="2" max="5" width="11" bestFit="1" customWidth="1"/>
  </cols>
  <sheetData>
    <row r="3" spans="1:5" x14ac:dyDescent="0.3">
      <c r="A3" s="5" t="s">
        <v>113</v>
      </c>
      <c r="B3" t="s">
        <v>115</v>
      </c>
      <c r="C3" t="s">
        <v>116</v>
      </c>
      <c r="D3" t="s">
        <v>117</v>
      </c>
      <c r="E3" t="s">
        <v>118</v>
      </c>
    </row>
    <row r="4" spans="1:5" x14ac:dyDescent="0.3">
      <c r="A4" s="6" t="s">
        <v>106</v>
      </c>
      <c r="B4" s="2">
        <v>3449.9</v>
      </c>
      <c r="C4" s="2">
        <v>4709</v>
      </c>
      <c r="D4" s="2">
        <v>2584</v>
      </c>
      <c r="E4" s="2">
        <v>4579</v>
      </c>
    </row>
    <row r="5" spans="1:5" x14ac:dyDescent="0.3">
      <c r="A5" s="6" t="s">
        <v>107</v>
      </c>
      <c r="B5" s="2">
        <v>4709.2</v>
      </c>
      <c r="C5" s="2">
        <v>2584</v>
      </c>
      <c r="D5" s="2">
        <v>4579</v>
      </c>
      <c r="E5" s="2">
        <v>1085</v>
      </c>
    </row>
    <row r="6" spans="1:5" x14ac:dyDescent="0.3">
      <c r="A6" s="6" t="s">
        <v>105</v>
      </c>
      <c r="B6" s="2">
        <v>1260</v>
      </c>
      <c r="C6" s="2">
        <v>-2126</v>
      </c>
      <c r="D6" s="2">
        <v>1996</v>
      </c>
      <c r="E6" s="2">
        <v>-3495</v>
      </c>
    </row>
    <row r="7" spans="1:5" x14ac:dyDescent="0.3">
      <c r="A7" s="6" t="s">
        <v>83</v>
      </c>
      <c r="B7" s="2">
        <v>454.2</v>
      </c>
      <c r="C7" s="2">
        <v>-645</v>
      </c>
      <c r="D7" s="2">
        <v>-108</v>
      </c>
      <c r="E7" s="2">
        <v>-438</v>
      </c>
    </row>
    <row r="8" spans="1:5" x14ac:dyDescent="0.3">
      <c r="A8" s="6" t="s">
        <v>77</v>
      </c>
      <c r="B8" s="2">
        <v>1142.0999999999999</v>
      </c>
      <c r="C8" s="2">
        <v>1855</v>
      </c>
      <c r="D8" s="2">
        <v>1251</v>
      </c>
      <c r="E8" s="2">
        <v>1661</v>
      </c>
    </row>
    <row r="9" spans="1:5" x14ac:dyDescent="0.3">
      <c r="A9" s="6" t="s">
        <v>1</v>
      </c>
      <c r="B9" s="2">
        <v>9788</v>
      </c>
      <c r="C9" s="2">
        <v>8748</v>
      </c>
      <c r="D9" s="2">
        <v>9742</v>
      </c>
      <c r="E9" s="2">
        <v>9782</v>
      </c>
    </row>
    <row r="10" spans="1:5" x14ac:dyDescent="0.3">
      <c r="A10" s="6" t="s">
        <v>39</v>
      </c>
      <c r="B10" s="2">
        <v>7148.5000000000009</v>
      </c>
      <c r="C10" s="2">
        <v>5424.2</v>
      </c>
      <c r="D10" s="2">
        <v>7986</v>
      </c>
      <c r="E10" s="2">
        <v>4598</v>
      </c>
    </row>
    <row r="11" spans="1:5" x14ac:dyDescent="0.3">
      <c r="A11" s="6" t="s">
        <v>53</v>
      </c>
      <c r="B11" s="2">
        <v>4020</v>
      </c>
      <c r="C11" s="2">
        <v>3802.1000000000004</v>
      </c>
      <c r="D11" s="2">
        <v>6859</v>
      </c>
      <c r="E11" s="2">
        <v>3861</v>
      </c>
    </row>
    <row r="12" spans="1:5" x14ac:dyDescent="0.3">
      <c r="A12" s="6" t="s">
        <v>104</v>
      </c>
      <c r="B12" s="2">
        <v>-120.1</v>
      </c>
      <c r="C12" s="2">
        <v>-254</v>
      </c>
      <c r="D12" s="2">
        <v>-58</v>
      </c>
      <c r="E12" s="2">
        <v>-101</v>
      </c>
    </row>
    <row r="13" spans="1:5" x14ac:dyDescent="0.3">
      <c r="A13" s="6" t="s">
        <v>96</v>
      </c>
      <c r="B13" s="2">
        <v>-5596.5</v>
      </c>
      <c r="C13" s="2">
        <v>-6580</v>
      </c>
      <c r="D13" s="2">
        <v>-4374</v>
      </c>
      <c r="E13" s="2">
        <v>-7493</v>
      </c>
    </row>
    <row r="14" spans="1:5" x14ac:dyDescent="0.3">
      <c r="A14" s="6" t="s">
        <v>5</v>
      </c>
      <c r="B14" s="2">
        <v>13085</v>
      </c>
      <c r="C14" s="2">
        <v>14106</v>
      </c>
      <c r="D14" s="2">
        <v>15436</v>
      </c>
      <c r="E14" s="2">
        <v>15715</v>
      </c>
    </row>
    <row r="15" spans="1:5" x14ac:dyDescent="0.3">
      <c r="A15" s="6" t="s">
        <v>109</v>
      </c>
      <c r="B15" s="2">
        <v>2404</v>
      </c>
      <c r="C15" s="2">
        <v>3024</v>
      </c>
      <c r="D15" s="2">
        <v>2993</v>
      </c>
      <c r="E15" s="2">
        <v>2974</v>
      </c>
    </row>
    <row r="16" spans="1:5" x14ac:dyDescent="0.3">
      <c r="A16" s="6" t="s">
        <v>108</v>
      </c>
      <c r="B16" s="2">
        <v>1197</v>
      </c>
      <c r="C16" s="2">
        <v>1184</v>
      </c>
      <c r="D16" s="2">
        <v>1287</v>
      </c>
      <c r="E16" s="2">
        <v>1523</v>
      </c>
    </row>
    <row r="17" spans="1:5" x14ac:dyDescent="0.3">
      <c r="A17" s="6" t="s">
        <v>89</v>
      </c>
      <c r="B17" s="2">
        <v>-2165.7000000000003</v>
      </c>
      <c r="C17" s="2">
        <v>-2678</v>
      </c>
      <c r="D17" s="2">
        <v>-3184</v>
      </c>
      <c r="E17" s="2">
        <v>-5346</v>
      </c>
    </row>
    <row r="18" spans="1:5" x14ac:dyDescent="0.3">
      <c r="A18" s="6" t="s">
        <v>48</v>
      </c>
      <c r="B18" s="2">
        <v>38272.6</v>
      </c>
      <c r="C18" s="2">
        <v>36339.300000000003</v>
      </c>
      <c r="D18" s="2">
        <v>38422</v>
      </c>
      <c r="E18" s="2">
        <v>38634</v>
      </c>
    </row>
    <row r="19" spans="1:5" x14ac:dyDescent="0.3">
      <c r="A19" s="6" t="s">
        <v>61</v>
      </c>
      <c r="B19" s="2">
        <v>54435.3</v>
      </c>
      <c r="C19" s="2">
        <v>52636.900000000009</v>
      </c>
      <c r="D19" s="2">
        <v>53995</v>
      </c>
      <c r="E19" s="2">
        <v>55119</v>
      </c>
    </row>
    <row r="20" spans="1:5" x14ac:dyDescent="0.3">
      <c r="A20" s="6" t="s">
        <v>30</v>
      </c>
      <c r="B20" s="2">
        <v>7545.2</v>
      </c>
      <c r="C20" s="2">
        <v>6177</v>
      </c>
      <c r="D20" s="2">
        <v>8469</v>
      </c>
      <c r="E20" s="2">
        <v>8223</v>
      </c>
    </row>
    <row r="21" spans="1:5" x14ac:dyDescent="0.3">
      <c r="A21" s="6" t="s">
        <v>25</v>
      </c>
      <c r="B21" s="2">
        <v>2810.8</v>
      </c>
      <c r="C21" s="2">
        <v>3193.6</v>
      </c>
      <c r="D21" s="2">
        <v>3178</v>
      </c>
      <c r="E21" s="2">
        <v>3488</v>
      </c>
    </row>
    <row r="22" spans="1:5" x14ac:dyDescent="0.3">
      <c r="A22" s="6" t="s">
        <v>18</v>
      </c>
      <c r="B22" s="2">
        <v>2484.6</v>
      </c>
      <c r="C22" s="2">
        <v>4081</v>
      </c>
      <c r="D22" s="2">
        <v>3149</v>
      </c>
      <c r="E22" s="2">
        <v>3337</v>
      </c>
    </row>
    <row r="23" spans="1:5" x14ac:dyDescent="0.3">
      <c r="A23" s="6" t="s">
        <v>12</v>
      </c>
      <c r="B23" s="2">
        <v>8047.8</v>
      </c>
      <c r="C23" s="2">
        <v>7380.9000000000005</v>
      </c>
      <c r="D23" s="2">
        <v>8224</v>
      </c>
      <c r="E23" s="2">
        <v>8335</v>
      </c>
    </row>
    <row r="24" spans="1:5" x14ac:dyDescent="0.3">
      <c r="A24" s="6" t="s">
        <v>16</v>
      </c>
      <c r="B24" s="2">
        <v>2335</v>
      </c>
      <c r="C24" s="2">
        <v>2349.6999999999998</v>
      </c>
      <c r="D24" s="2">
        <v>2475</v>
      </c>
      <c r="E24" s="2">
        <v>2536</v>
      </c>
    </row>
    <row r="25" spans="1:5" x14ac:dyDescent="0.3">
      <c r="A25" s="6" t="s">
        <v>9</v>
      </c>
      <c r="B25" s="2">
        <v>351</v>
      </c>
      <c r="C25" s="2">
        <v>329</v>
      </c>
      <c r="D25" s="2">
        <v>316</v>
      </c>
      <c r="E25" s="2">
        <v>423</v>
      </c>
    </row>
    <row r="26" spans="1:5" x14ac:dyDescent="0.3">
      <c r="A26" s="6" t="s">
        <v>44</v>
      </c>
      <c r="B26" s="2">
        <v>8433.2000000000007</v>
      </c>
      <c r="C26" s="2">
        <v>8672.1</v>
      </c>
      <c r="D26" s="2">
        <v>9738</v>
      </c>
      <c r="E26" s="2">
        <v>11950</v>
      </c>
    </row>
    <row r="27" spans="1:5" x14ac:dyDescent="0.3">
      <c r="A27" s="6" t="s">
        <v>32</v>
      </c>
      <c r="B27" s="2">
        <v>1523.5</v>
      </c>
      <c r="C27" s="2">
        <v>1500.1799999999998</v>
      </c>
      <c r="D27" s="2">
        <v>1490</v>
      </c>
      <c r="E27" s="2">
        <v>1469.82</v>
      </c>
    </row>
    <row r="28" spans="1:5" x14ac:dyDescent="0.3">
      <c r="A28" s="6" t="s">
        <v>68</v>
      </c>
      <c r="B28" s="2">
        <v>-4601</v>
      </c>
      <c r="C28" s="2">
        <v>-6003.3999999999942</v>
      </c>
      <c r="D28" s="2">
        <v>-4706</v>
      </c>
      <c r="E28" s="2">
        <v>-3796</v>
      </c>
    </row>
    <row r="29" spans="1:5" x14ac:dyDescent="0.3">
      <c r="A29" s="6" t="s">
        <v>23</v>
      </c>
      <c r="B29" s="2">
        <v>27029.100000000002</v>
      </c>
      <c r="C29" s="2">
        <v>23373.800000000003</v>
      </c>
      <c r="D29" s="2">
        <v>30638</v>
      </c>
      <c r="E29" s="2">
        <v>30280</v>
      </c>
    </row>
    <row r="30" spans="1:5" x14ac:dyDescent="0.3">
      <c r="A30" s="6" t="s">
        <v>114</v>
      </c>
      <c r="B30" s="2">
        <v>189442.7</v>
      </c>
      <c r="C30" s="2">
        <v>173183.38</v>
      </c>
      <c r="D30" s="2">
        <v>202377</v>
      </c>
      <c r="E30" s="2">
        <v>188903.82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B563-DE40-4FC2-8106-ABC6DB1AA741}">
  <dimension ref="A2:I29"/>
  <sheetViews>
    <sheetView tabSelected="1" workbookViewId="0">
      <selection activeCell="H18" sqref="H18"/>
    </sheetView>
  </sheetViews>
  <sheetFormatPr defaultRowHeight="14.4" x14ac:dyDescent="0.3"/>
  <cols>
    <col min="1" max="1" width="36.5546875" bestFit="1" customWidth="1"/>
    <col min="2" max="5" width="11" bestFit="1" customWidth="1"/>
    <col min="7" max="9" width="18" bestFit="1" customWidth="1"/>
  </cols>
  <sheetData>
    <row r="2" spans="1:9" x14ac:dyDescent="0.3">
      <c r="A2" s="7" t="s">
        <v>113</v>
      </c>
      <c r="B2" s="7" t="s">
        <v>115</v>
      </c>
      <c r="C2" s="7" t="s">
        <v>116</v>
      </c>
      <c r="D2" s="7" t="s">
        <v>117</v>
      </c>
      <c r="E2" s="7" t="s">
        <v>118</v>
      </c>
      <c r="G2" s="7" t="s">
        <v>119</v>
      </c>
      <c r="H2" s="7" t="s">
        <v>120</v>
      </c>
      <c r="I2" s="7" t="s">
        <v>121</v>
      </c>
    </row>
    <row r="3" spans="1:9" x14ac:dyDescent="0.3">
      <c r="A3" t="s">
        <v>106</v>
      </c>
      <c r="B3">
        <v>3449.9</v>
      </c>
      <c r="C3">
        <v>4709</v>
      </c>
      <c r="D3">
        <v>2584</v>
      </c>
      <c r="E3">
        <v>4579</v>
      </c>
      <c r="G3">
        <f>C3-B3/B3</f>
        <v>4708</v>
      </c>
      <c r="H3">
        <f>D3-C3/C3</f>
        <v>2583</v>
      </c>
      <c r="I3">
        <f>E3-D3/D3</f>
        <v>4578</v>
      </c>
    </row>
    <row r="4" spans="1:9" x14ac:dyDescent="0.3">
      <c r="A4" t="s">
        <v>107</v>
      </c>
      <c r="B4">
        <v>4709.2</v>
      </c>
      <c r="C4">
        <v>2584</v>
      </c>
      <c r="D4">
        <v>4579</v>
      </c>
      <c r="E4">
        <v>1085</v>
      </c>
      <c r="G4">
        <f t="shared" ref="G4:G29" si="0">C4-B4/B4</f>
        <v>2583</v>
      </c>
      <c r="H4">
        <f t="shared" ref="H4:H29" si="1">D4-C4/C4</f>
        <v>4578</v>
      </c>
      <c r="I4">
        <f t="shared" ref="I4:I29" si="2">E4-D4/D4</f>
        <v>1084</v>
      </c>
    </row>
    <row r="5" spans="1:9" x14ac:dyDescent="0.3">
      <c r="A5" t="s">
        <v>105</v>
      </c>
      <c r="B5">
        <v>1260</v>
      </c>
      <c r="C5">
        <v>-2126</v>
      </c>
      <c r="D5">
        <v>1996</v>
      </c>
      <c r="E5">
        <v>-3495</v>
      </c>
      <c r="G5">
        <f t="shared" si="0"/>
        <v>-2127</v>
      </c>
      <c r="H5">
        <f t="shared" si="1"/>
        <v>1995</v>
      </c>
      <c r="I5">
        <f t="shared" si="2"/>
        <v>-3496</v>
      </c>
    </row>
    <row r="6" spans="1:9" x14ac:dyDescent="0.3">
      <c r="A6" t="s">
        <v>83</v>
      </c>
      <c r="B6">
        <v>454.2</v>
      </c>
      <c r="C6">
        <v>-645</v>
      </c>
      <c r="D6">
        <v>-108</v>
      </c>
      <c r="E6">
        <v>-438</v>
      </c>
      <c r="G6">
        <f t="shared" si="0"/>
        <v>-646</v>
      </c>
      <c r="H6">
        <f t="shared" si="1"/>
        <v>-109</v>
      </c>
      <c r="I6">
        <f t="shared" si="2"/>
        <v>-439</v>
      </c>
    </row>
    <row r="7" spans="1:9" x14ac:dyDescent="0.3">
      <c r="A7" t="s">
        <v>77</v>
      </c>
      <c r="B7">
        <v>1142.0999999999999</v>
      </c>
      <c r="C7">
        <v>1855</v>
      </c>
      <c r="D7">
        <v>1251</v>
      </c>
      <c r="E7">
        <v>1661</v>
      </c>
      <c r="G7">
        <f t="shared" si="0"/>
        <v>1854</v>
      </c>
      <c r="H7">
        <f t="shared" si="1"/>
        <v>1250</v>
      </c>
      <c r="I7">
        <f t="shared" si="2"/>
        <v>1660</v>
      </c>
    </row>
    <row r="8" spans="1:9" x14ac:dyDescent="0.3">
      <c r="A8" t="s">
        <v>1</v>
      </c>
      <c r="B8">
        <v>9788</v>
      </c>
      <c r="C8">
        <v>8748</v>
      </c>
      <c r="D8">
        <v>9742</v>
      </c>
      <c r="E8">
        <v>9782</v>
      </c>
      <c r="G8">
        <f t="shared" si="0"/>
        <v>8747</v>
      </c>
      <c r="H8">
        <f t="shared" si="1"/>
        <v>9741</v>
      </c>
      <c r="I8">
        <f t="shared" si="2"/>
        <v>9781</v>
      </c>
    </row>
    <row r="9" spans="1:9" x14ac:dyDescent="0.3">
      <c r="A9" t="s">
        <v>39</v>
      </c>
      <c r="B9">
        <v>7148.5000000000009</v>
      </c>
      <c r="C9">
        <v>5424.2</v>
      </c>
      <c r="D9">
        <v>7986</v>
      </c>
      <c r="E9">
        <v>4598</v>
      </c>
      <c r="G9">
        <f t="shared" si="0"/>
        <v>5423.2</v>
      </c>
      <c r="H9">
        <f t="shared" si="1"/>
        <v>7985</v>
      </c>
      <c r="I9">
        <f t="shared" si="2"/>
        <v>4597</v>
      </c>
    </row>
    <row r="10" spans="1:9" x14ac:dyDescent="0.3">
      <c r="A10" t="s">
        <v>53</v>
      </c>
      <c r="B10">
        <v>4020</v>
      </c>
      <c r="C10">
        <v>3802.1000000000004</v>
      </c>
      <c r="D10">
        <v>6859</v>
      </c>
      <c r="E10">
        <v>3861</v>
      </c>
      <c r="G10">
        <f t="shared" si="0"/>
        <v>3801.1000000000004</v>
      </c>
      <c r="H10">
        <f t="shared" si="1"/>
        <v>6858</v>
      </c>
      <c r="I10">
        <f t="shared" si="2"/>
        <v>3860</v>
      </c>
    </row>
    <row r="11" spans="1:9" x14ac:dyDescent="0.3">
      <c r="A11" t="s">
        <v>104</v>
      </c>
      <c r="B11">
        <v>-120.1</v>
      </c>
      <c r="C11">
        <v>-254</v>
      </c>
      <c r="D11">
        <v>-58</v>
      </c>
      <c r="E11">
        <v>-101</v>
      </c>
      <c r="G11">
        <f t="shared" si="0"/>
        <v>-255</v>
      </c>
      <c r="H11">
        <f t="shared" si="1"/>
        <v>-59</v>
      </c>
      <c r="I11">
        <f t="shared" si="2"/>
        <v>-102</v>
      </c>
    </row>
    <row r="12" spans="1:9" x14ac:dyDescent="0.3">
      <c r="A12" t="s">
        <v>96</v>
      </c>
      <c r="B12">
        <v>-5596.5</v>
      </c>
      <c r="C12">
        <v>-6580</v>
      </c>
      <c r="D12">
        <v>-4374</v>
      </c>
      <c r="E12">
        <v>-7493</v>
      </c>
      <c r="G12">
        <f t="shared" si="0"/>
        <v>-6581</v>
      </c>
      <c r="H12">
        <f t="shared" si="1"/>
        <v>-4375</v>
      </c>
      <c r="I12">
        <f t="shared" si="2"/>
        <v>-7494</v>
      </c>
    </row>
    <row r="13" spans="1:9" x14ac:dyDescent="0.3">
      <c r="A13" t="s">
        <v>5</v>
      </c>
      <c r="B13">
        <v>13085</v>
      </c>
      <c r="C13">
        <v>14106</v>
      </c>
      <c r="D13">
        <v>15436</v>
      </c>
      <c r="E13">
        <v>15715</v>
      </c>
      <c r="G13">
        <f t="shared" si="0"/>
        <v>14105</v>
      </c>
      <c r="H13">
        <f t="shared" si="1"/>
        <v>15435</v>
      </c>
      <c r="I13">
        <f t="shared" si="2"/>
        <v>15714</v>
      </c>
    </row>
    <row r="14" spans="1:9" x14ac:dyDescent="0.3">
      <c r="A14" t="s">
        <v>109</v>
      </c>
      <c r="B14">
        <v>2404</v>
      </c>
      <c r="C14">
        <v>3024</v>
      </c>
      <c r="D14">
        <v>2993</v>
      </c>
      <c r="E14">
        <v>2974</v>
      </c>
      <c r="G14">
        <f t="shared" si="0"/>
        <v>3023</v>
      </c>
      <c r="H14">
        <f t="shared" si="1"/>
        <v>2992</v>
      </c>
      <c r="I14">
        <f t="shared" si="2"/>
        <v>2973</v>
      </c>
    </row>
    <row r="15" spans="1:9" x14ac:dyDescent="0.3">
      <c r="A15" t="s">
        <v>108</v>
      </c>
      <c r="B15">
        <v>1197</v>
      </c>
      <c r="C15">
        <v>1184</v>
      </c>
      <c r="D15">
        <v>1287</v>
      </c>
      <c r="E15">
        <v>1523</v>
      </c>
      <c r="G15">
        <f t="shared" si="0"/>
        <v>1183</v>
      </c>
      <c r="H15">
        <f t="shared" si="1"/>
        <v>1286</v>
      </c>
      <c r="I15">
        <f t="shared" si="2"/>
        <v>1522</v>
      </c>
    </row>
    <row r="16" spans="1:9" x14ac:dyDescent="0.3">
      <c r="A16" t="s">
        <v>89</v>
      </c>
      <c r="B16">
        <v>-2165.7000000000003</v>
      </c>
      <c r="C16">
        <v>-2678</v>
      </c>
      <c r="D16">
        <v>-3184</v>
      </c>
      <c r="E16">
        <v>-5346</v>
      </c>
      <c r="G16">
        <f t="shared" si="0"/>
        <v>-2679</v>
      </c>
      <c r="H16">
        <f t="shared" si="1"/>
        <v>-3185</v>
      </c>
      <c r="I16">
        <f t="shared" si="2"/>
        <v>-5347</v>
      </c>
    </row>
    <row r="17" spans="1:9" x14ac:dyDescent="0.3">
      <c r="A17" t="s">
        <v>48</v>
      </c>
      <c r="B17">
        <v>38272.6</v>
      </c>
      <c r="C17">
        <v>36339.300000000003</v>
      </c>
      <c r="D17">
        <v>38422</v>
      </c>
      <c r="E17">
        <v>38634</v>
      </c>
      <c r="G17">
        <f t="shared" si="0"/>
        <v>36338.300000000003</v>
      </c>
      <c r="H17">
        <f t="shared" si="1"/>
        <v>38421</v>
      </c>
      <c r="I17">
        <f t="shared" si="2"/>
        <v>38633</v>
      </c>
    </row>
    <row r="18" spans="1:9" x14ac:dyDescent="0.3">
      <c r="A18" t="s">
        <v>61</v>
      </c>
      <c r="B18">
        <v>54435.3</v>
      </c>
      <c r="C18">
        <v>52636.900000000009</v>
      </c>
      <c r="D18">
        <v>53995</v>
      </c>
      <c r="E18">
        <v>55119</v>
      </c>
      <c r="G18">
        <f t="shared" si="0"/>
        <v>52635.900000000009</v>
      </c>
      <c r="H18">
        <f t="shared" si="1"/>
        <v>53994</v>
      </c>
      <c r="I18">
        <f t="shared" si="2"/>
        <v>55118</v>
      </c>
    </row>
    <row r="19" spans="1:9" x14ac:dyDescent="0.3">
      <c r="A19" t="s">
        <v>30</v>
      </c>
      <c r="B19">
        <v>7545.2</v>
      </c>
      <c r="C19">
        <v>6177</v>
      </c>
      <c r="D19">
        <v>8469</v>
      </c>
      <c r="E19">
        <v>8223</v>
      </c>
      <c r="G19">
        <f t="shared" si="0"/>
        <v>6176</v>
      </c>
      <c r="H19">
        <f t="shared" si="1"/>
        <v>8468</v>
      </c>
      <c r="I19">
        <f t="shared" si="2"/>
        <v>8222</v>
      </c>
    </row>
    <row r="20" spans="1:9" x14ac:dyDescent="0.3">
      <c r="A20" t="s">
        <v>25</v>
      </c>
      <c r="B20">
        <v>2810.8</v>
      </c>
      <c r="C20">
        <v>3193.6</v>
      </c>
      <c r="D20">
        <v>3178</v>
      </c>
      <c r="E20">
        <v>3488</v>
      </c>
      <c r="G20">
        <f t="shared" si="0"/>
        <v>3192.6</v>
      </c>
      <c r="H20">
        <f t="shared" si="1"/>
        <v>3177</v>
      </c>
      <c r="I20">
        <f t="shared" si="2"/>
        <v>3487</v>
      </c>
    </row>
    <row r="21" spans="1:9" x14ac:dyDescent="0.3">
      <c r="A21" t="s">
        <v>18</v>
      </c>
      <c r="B21">
        <v>2484.6</v>
      </c>
      <c r="C21">
        <v>4081</v>
      </c>
      <c r="D21">
        <v>3149</v>
      </c>
      <c r="E21">
        <v>3337</v>
      </c>
      <c r="G21">
        <f t="shared" si="0"/>
        <v>4080</v>
      </c>
      <c r="H21">
        <f t="shared" si="1"/>
        <v>3148</v>
      </c>
      <c r="I21">
        <f t="shared" si="2"/>
        <v>3336</v>
      </c>
    </row>
    <row r="22" spans="1:9" x14ac:dyDescent="0.3">
      <c r="A22" t="s">
        <v>12</v>
      </c>
      <c r="B22">
        <v>8047.8</v>
      </c>
      <c r="C22">
        <v>7380.9000000000005</v>
      </c>
      <c r="D22">
        <v>8224</v>
      </c>
      <c r="E22">
        <v>8335</v>
      </c>
      <c r="G22">
        <f t="shared" si="0"/>
        <v>7379.9000000000005</v>
      </c>
      <c r="H22">
        <f t="shared" si="1"/>
        <v>8223</v>
      </c>
      <c r="I22">
        <f t="shared" si="2"/>
        <v>8334</v>
      </c>
    </row>
    <row r="23" spans="1:9" x14ac:dyDescent="0.3">
      <c r="A23" t="s">
        <v>16</v>
      </c>
      <c r="B23">
        <v>2335</v>
      </c>
      <c r="C23">
        <v>2349.6999999999998</v>
      </c>
      <c r="D23">
        <v>2475</v>
      </c>
      <c r="E23">
        <v>2536</v>
      </c>
      <c r="G23">
        <f t="shared" si="0"/>
        <v>2348.6999999999998</v>
      </c>
      <c r="H23">
        <f t="shared" si="1"/>
        <v>2474</v>
      </c>
      <c r="I23">
        <f t="shared" si="2"/>
        <v>2535</v>
      </c>
    </row>
    <row r="24" spans="1:9" x14ac:dyDescent="0.3">
      <c r="A24" t="s">
        <v>9</v>
      </c>
      <c r="B24">
        <v>351</v>
      </c>
      <c r="C24">
        <v>329</v>
      </c>
      <c r="D24">
        <v>316</v>
      </c>
      <c r="E24">
        <v>423</v>
      </c>
      <c r="G24">
        <f t="shared" si="0"/>
        <v>328</v>
      </c>
      <c r="H24">
        <f t="shared" si="1"/>
        <v>315</v>
      </c>
      <c r="I24">
        <f t="shared" si="2"/>
        <v>422</v>
      </c>
    </row>
    <row r="25" spans="1:9" x14ac:dyDescent="0.3">
      <c r="A25" t="s">
        <v>44</v>
      </c>
      <c r="B25">
        <v>8433.2000000000007</v>
      </c>
      <c r="C25">
        <v>8672.1</v>
      </c>
      <c r="D25">
        <v>9738</v>
      </c>
      <c r="E25">
        <v>11950</v>
      </c>
      <c r="G25">
        <f t="shared" si="0"/>
        <v>8671.1</v>
      </c>
      <c r="H25">
        <f t="shared" si="1"/>
        <v>9737</v>
      </c>
      <c r="I25">
        <f t="shared" si="2"/>
        <v>11949</v>
      </c>
    </row>
    <row r="26" spans="1:9" x14ac:dyDescent="0.3">
      <c r="A26" t="s">
        <v>32</v>
      </c>
      <c r="B26">
        <v>1523.5</v>
      </c>
      <c r="C26">
        <v>1500.1799999999998</v>
      </c>
      <c r="D26">
        <v>1490</v>
      </c>
      <c r="E26">
        <v>1469.82</v>
      </c>
      <c r="G26">
        <f t="shared" si="0"/>
        <v>1499.1799999999998</v>
      </c>
      <c r="H26">
        <f t="shared" si="1"/>
        <v>1489</v>
      </c>
      <c r="I26">
        <f t="shared" si="2"/>
        <v>1468.82</v>
      </c>
    </row>
    <row r="27" spans="1:9" x14ac:dyDescent="0.3">
      <c r="A27" t="s">
        <v>68</v>
      </c>
      <c r="B27">
        <v>-4601</v>
      </c>
      <c r="C27">
        <v>-6003.3999999999942</v>
      </c>
      <c r="D27">
        <v>-4706</v>
      </c>
      <c r="E27">
        <v>-3796</v>
      </c>
      <c r="G27">
        <f t="shared" si="0"/>
        <v>-6004.3999999999942</v>
      </c>
      <c r="H27">
        <f t="shared" si="1"/>
        <v>-4707</v>
      </c>
      <c r="I27">
        <f t="shared" si="2"/>
        <v>-3797</v>
      </c>
    </row>
    <row r="28" spans="1:9" x14ac:dyDescent="0.3">
      <c r="A28" t="s">
        <v>23</v>
      </c>
      <c r="B28">
        <v>27029.100000000002</v>
      </c>
      <c r="C28">
        <v>23373.800000000003</v>
      </c>
      <c r="D28">
        <v>30638</v>
      </c>
      <c r="E28">
        <v>30280</v>
      </c>
      <c r="G28">
        <f t="shared" si="0"/>
        <v>23372.800000000003</v>
      </c>
      <c r="H28">
        <f t="shared" si="1"/>
        <v>30637</v>
      </c>
      <c r="I28">
        <f t="shared" si="2"/>
        <v>30279</v>
      </c>
    </row>
    <row r="29" spans="1:9" x14ac:dyDescent="0.3">
      <c r="A29" s="7" t="s">
        <v>114</v>
      </c>
      <c r="B29" s="7">
        <v>189442.7</v>
      </c>
      <c r="C29" s="7">
        <v>173183.38</v>
      </c>
      <c r="D29" s="7">
        <v>202377</v>
      </c>
      <c r="E29" s="7">
        <v>188903.82</v>
      </c>
      <c r="G29" s="7">
        <f t="shared" si="0"/>
        <v>173182.38</v>
      </c>
      <c r="H29" s="7">
        <f t="shared" si="1"/>
        <v>202376</v>
      </c>
      <c r="I29" s="7">
        <f t="shared" si="2"/>
        <v>188902.82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5439-2ED1-4702-A8B4-17BEBA679E7D}">
  <dimension ref="A3:D8"/>
  <sheetViews>
    <sheetView workbookViewId="0">
      <selection activeCell="G23" sqref="G23"/>
    </sheetView>
  </sheetViews>
  <sheetFormatPr defaultRowHeight="14.4" x14ac:dyDescent="0.3"/>
  <cols>
    <col min="1" max="1" width="10.77734375" bestFit="1" customWidth="1"/>
    <col min="2" max="2" width="15.5546875" bestFit="1" customWidth="1"/>
    <col min="3" max="3" width="14.21875" bestFit="1" customWidth="1"/>
    <col min="4" max="5" width="10.5546875" bestFit="1" customWidth="1"/>
    <col min="6" max="20" width="15.5546875" bestFit="1" customWidth="1"/>
    <col min="21" max="21" width="29.21875" bestFit="1" customWidth="1"/>
    <col min="22" max="22" width="22.88671875" bestFit="1" customWidth="1"/>
    <col min="23" max="23" width="5.33203125" bestFit="1" customWidth="1"/>
    <col min="24" max="24" width="11.44140625" bestFit="1" customWidth="1"/>
    <col min="25" max="25" width="10.109375" bestFit="1" customWidth="1"/>
    <col min="26" max="26" width="11.77734375" bestFit="1" customWidth="1"/>
    <col min="27" max="27" width="4.88671875" bestFit="1" customWidth="1"/>
    <col min="28" max="28" width="10.5546875" bestFit="1" customWidth="1"/>
  </cols>
  <sheetData>
    <row r="3" spans="1:4" x14ac:dyDescent="0.3">
      <c r="B3" s="5" t="s">
        <v>122</v>
      </c>
    </row>
    <row r="4" spans="1:4" x14ac:dyDescent="0.3">
      <c r="A4" s="5" t="s">
        <v>123</v>
      </c>
      <c r="B4" t="s">
        <v>30</v>
      </c>
      <c r="C4" t="s">
        <v>18</v>
      </c>
      <c r="D4" t="s">
        <v>114</v>
      </c>
    </row>
    <row r="5" spans="1:4" x14ac:dyDescent="0.3">
      <c r="A5" s="6" t="s">
        <v>115</v>
      </c>
      <c r="B5" s="8">
        <v>7545.2</v>
      </c>
      <c r="C5" s="8">
        <v>2484.6</v>
      </c>
      <c r="D5" s="8">
        <v>10029.799999999999</v>
      </c>
    </row>
    <row r="6" spans="1:4" x14ac:dyDescent="0.3">
      <c r="A6" s="6" t="s">
        <v>116</v>
      </c>
      <c r="B6" s="8">
        <v>6177</v>
      </c>
      <c r="C6" s="8">
        <v>4081</v>
      </c>
      <c r="D6" s="8">
        <v>10258</v>
      </c>
    </row>
    <row r="7" spans="1:4" x14ac:dyDescent="0.3">
      <c r="A7" s="6" t="s">
        <v>117</v>
      </c>
      <c r="B7" s="8">
        <v>8469</v>
      </c>
      <c r="C7" s="8">
        <v>3149</v>
      </c>
      <c r="D7" s="8">
        <v>11618</v>
      </c>
    </row>
    <row r="8" spans="1:4" x14ac:dyDescent="0.3">
      <c r="A8" s="6" t="s">
        <v>118</v>
      </c>
      <c r="B8" s="8">
        <v>8223</v>
      </c>
      <c r="C8" s="8">
        <v>3337</v>
      </c>
      <c r="D8" s="8">
        <v>11560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E_Mcdonaldsdata</vt:lpstr>
      <vt:lpstr>Yearly</vt:lpstr>
      <vt:lpstr>Yearly analysis</vt:lpstr>
      <vt:lpstr>Netincome vs Operatingcost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Thakur</dc:creator>
  <cp:lastModifiedBy>Shiva Thakur</cp:lastModifiedBy>
  <dcterms:created xsi:type="dcterms:W3CDTF">2026-08-28T05:46:47Z</dcterms:created>
  <dcterms:modified xsi:type="dcterms:W3CDTF">2026-08-28T06:16:05Z</dcterms:modified>
</cp:coreProperties>
</file>