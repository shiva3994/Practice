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https://d.docs.live.net/d58d4d655bee1e81/Desktop/Github/Practice/Daily Excel/"/>
    </mc:Choice>
  </mc:AlternateContent>
  <xr:revisionPtr revIDLastSave="47" documentId="8_{E0CD9693-A966-48B1-8504-D3B1BCEC178F}" xr6:coauthVersionLast="47" xr6:coauthVersionMax="47" xr10:uidLastSave="{4594BBB7-63D6-4A90-8806-ED759984474B}"/>
  <bookViews>
    <workbookView xWindow="-108" yWindow="-108" windowWidth="23256" windowHeight="12456" xr2:uid="{00000000-000D-0000-FFFF-FFFF00000000}"/>
  </bookViews>
  <sheets>
    <sheet name="Practice"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E1216" i="1" l="1"/>
  <c r="E1217" i="1"/>
  <c r="E1218" i="1"/>
  <c r="E1219" i="1"/>
  <c r="E1220" i="1"/>
  <c r="E1215" i="1"/>
  <c r="C1199" i="1"/>
  <c r="B1199" i="1"/>
  <c r="E1199" i="1" s="1"/>
  <c r="B1200" i="1"/>
  <c r="D1200" i="1" s="1"/>
  <c r="B1201" i="1"/>
  <c r="C1201" i="1" s="1"/>
  <c r="B1198" i="1"/>
  <c r="C1198" i="1" s="1"/>
  <c r="B1172" i="1"/>
  <c r="B1173" i="1" s="1"/>
  <c r="B1129" i="1"/>
  <c r="B1147" i="1"/>
  <c r="K1098" i="1"/>
  <c r="K1099" i="1"/>
  <c r="K1100" i="1"/>
  <c r="K1101" i="1"/>
  <c r="K1102" i="1"/>
  <c r="K1103" i="1"/>
  <c r="K1104" i="1"/>
  <c r="K1097" i="1"/>
  <c r="C1108" i="1"/>
  <c r="C1107" i="1"/>
  <c r="B1071" i="1"/>
  <c r="B1070" i="1"/>
  <c r="B1069" i="1"/>
  <c r="G1031" i="1"/>
  <c r="B1010" i="1"/>
  <c r="B1011" i="1"/>
  <c r="B1012" i="1"/>
  <c r="B1009" i="1"/>
  <c r="B979" i="1"/>
  <c r="B934" i="1"/>
  <c r="B935" i="1"/>
  <c r="B933" i="1"/>
  <c r="E878" i="1"/>
  <c r="E879" i="1"/>
  <c r="E880" i="1"/>
  <c r="E881" i="1"/>
  <c r="E882" i="1"/>
  <c r="E883" i="1"/>
  <c r="E884" i="1"/>
  <c r="E885" i="1"/>
  <c r="E886" i="1"/>
  <c r="E887" i="1"/>
  <c r="E888" i="1"/>
  <c r="E889" i="1"/>
  <c r="E890" i="1"/>
  <c r="E891" i="1"/>
  <c r="E877" i="1"/>
  <c r="F864" i="1"/>
  <c r="G864" i="1" s="1"/>
  <c r="F865" i="1"/>
  <c r="G865" i="1" s="1"/>
  <c r="F866" i="1"/>
  <c r="G866" i="1" s="1"/>
  <c r="F867" i="1"/>
  <c r="G867" i="1" s="1"/>
  <c r="F868" i="1"/>
  <c r="G868" i="1" s="1"/>
  <c r="F863" i="1"/>
  <c r="G863" i="1" s="1"/>
  <c r="C846" i="1"/>
  <c r="B825" i="1"/>
  <c r="B824" i="1"/>
  <c r="B823" i="1"/>
  <c r="B791" i="1"/>
  <c r="C786" i="1"/>
  <c r="B786" i="1"/>
  <c r="B787" i="1" s="1"/>
  <c r="D772" i="1"/>
  <c r="D771" i="1"/>
  <c r="C763" i="1"/>
  <c r="C762" i="1"/>
  <c r="C753" i="1"/>
  <c r="C754" i="1"/>
  <c r="C752" i="1"/>
  <c r="D726" i="1" a="1"/>
  <c r="D726" i="1" s="1"/>
  <c r="D727" i="1" a="1"/>
  <c r="D727" i="1" s="1"/>
  <c r="D728" i="1" a="1"/>
  <c r="D728" i="1" s="1"/>
  <c r="D729" i="1" a="1"/>
  <c r="D729" i="1" s="1"/>
  <c r="D730" i="1" a="1"/>
  <c r="D730" i="1" s="1"/>
  <c r="D731" i="1" a="1"/>
  <c r="D731" i="1" s="1"/>
  <c r="D732" i="1" a="1"/>
  <c r="D732" i="1" s="1"/>
  <c r="D725" i="1" a="1"/>
  <c r="D725" i="1" s="1"/>
  <c r="C726" i="1" a="1"/>
  <c r="C726" i="1" s="1"/>
  <c r="C727" i="1" a="1"/>
  <c r="C727" i="1" s="1"/>
  <c r="C728" i="1" a="1"/>
  <c r="C728" i="1" s="1"/>
  <c r="C729" i="1" a="1"/>
  <c r="C729" i="1" s="1"/>
  <c r="C730" i="1" a="1"/>
  <c r="C730" i="1" s="1"/>
  <c r="C731" i="1" a="1"/>
  <c r="C731" i="1" s="1"/>
  <c r="C732" i="1" a="1"/>
  <c r="C732" i="1" s="1"/>
  <c r="C725" i="1" a="1"/>
  <c r="C725" i="1" s="1"/>
  <c r="C691" i="1"/>
  <c r="C710" i="1" a="1"/>
  <c r="C710" i="1" s="1"/>
  <c r="C716" i="1" a="1"/>
  <c r="C716" i="1" s="1"/>
  <c r="C709" i="1" a="1"/>
  <c r="C709" i="1" s="1"/>
  <c r="C713" i="1" a="1"/>
  <c r="C713" i="1" s="1"/>
  <c r="C711" i="1" a="1"/>
  <c r="C711" i="1" s="1"/>
  <c r="C712" i="1" a="1"/>
  <c r="C712" i="1" s="1"/>
  <c r="C714" i="1" a="1"/>
  <c r="C714" i="1" s="1"/>
  <c r="C715" i="1" a="1"/>
  <c r="C715" i="1" s="1"/>
  <c r="C692" i="1"/>
  <c r="C693" i="1"/>
  <c r="C694" i="1"/>
  <c r="C695" i="1"/>
  <c r="C696" i="1"/>
  <c r="C697" i="1"/>
  <c r="C698" i="1"/>
  <c r="C676" i="1"/>
  <c r="C677" i="1"/>
  <c r="C678" i="1"/>
  <c r="C679" i="1"/>
  <c r="C680" i="1"/>
  <c r="C681" i="1"/>
  <c r="C682" i="1"/>
  <c r="C675" i="1"/>
  <c r="D663" i="1"/>
  <c r="D664" i="1"/>
  <c r="D665" i="1"/>
  <c r="D666" i="1"/>
  <c r="D667" i="1"/>
  <c r="D662" i="1"/>
  <c r="E643" i="1"/>
  <c r="E644" i="1"/>
  <c r="E645" i="1"/>
  <c r="E646" i="1"/>
  <c r="E647" i="1"/>
  <c r="E648" i="1"/>
  <c r="E649" i="1"/>
  <c r="E650" i="1"/>
  <c r="E651" i="1"/>
  <c r="E642" i="1"/>
  <c r="F617" i="1"/>
  <c r="F618" i="1"/>
  <c r="F619" i="1"/>
  <c r="F620" i="1"/>
  <c r="F621" i="1"/>
  <c r="F622" i="1"/>
  <c r="F623" i="1"/>
  <c r="F624" i="1"/>
  <c r="F625" i="1"/>
  <c r="F616" i="1"/>
  <c r="D606" i="1"/>
  <c r="D605" i="1"/>
  <c r="D604" i="1"/>
  <c r="D603" i="1"/>
  <c r="D602" i="1"/>
  <c r="D601" i="1"/>
  <c r="C584" i="1" a="1"/>
  <c r="C584" i="1" s="1"/>
  <c r="B571" i="1" a="1"/>
  <c r="B571" i="1" s="1"/>
  <c r="B548" i="1"/>
  <c r="C531" i="1"/>
  <c r="C532" i="1"/>
  <c r="C530" i="1"/>
  <c r="B498" i="1"/>
  <c r="B497" i="1"/>
  <c r="B496" i="1"/>
  <c r="B477" i="1"/>
  <c r="B476" i="1"/>
  <c r="B462" i="1"/>
  <c r="B461" i="1"/>
  <c r="G439" i="1"/>
  <c r="G436" i="1"/>
  <c r="G434" i="1"/>
  <c r="G435" i="1"/>
  <c r="G437" i="1"/>
  <c r="G438" i="1"/>
  <c r="G433" i="1"/>
  <c r="C425" i="1"/>
  <c r="B410" i="1"/>
  <c r="D381" i="1"/>
  <c r="D380" i="1"/>
  <c r="D382" i="1"/>
  <c r="D383" i="1"/>
  <c r="D379" i="1"/>
  <c r="C358" i="1"/>
  <c r="B344" i="1"/>
  <c r="B345" i="1"/>
  <c r="B346" i="1"/>
  <c r="B343" i="1"/>
  <c r="F316" i="1" a="1"/>
  <c r="F316" i="1" s="1"/>
  <c r="F315" i="1"/>
  <c r="D296" i="1"/>
  <c r="D297" i="1"/>
  <c r="D298" i="1"/>
  <c r="D295" i="1"/>
  <c r="C299" i="1"/>
  <c r="B299" i="1"/>
  <c r="D276" i="1"/>
  <c r="D277" i="1"/>
  <c r="D278" i="1"/>
  <c r="D279" i="1"/>
  <c r="D280" i="1"/>
  <c r="D281" i="1"/>
  <c r="D275" i="1"/>
  <c r="D263" i="1"/>
  <c r="D264" i="1"/>
  <c r="D265" i="1"/>
  <c r="D266" i="1"/>
  <c r="D267" i="1"/>
  <c r="D268" i="1"/>
  <c r="D262" i="1"/>
  <c r="C252" i="1"/>
  <c r="C253" i="1"/>
  <c r="C254" i="1"/>
  <c r="C251" i="1"/>
  <c r="B236" i="1"/>
  <c r="E217" i="1"/>
  <c r="E218" i="1"/>
  <c r="E219" i="1"/>
  <c r="E220" i="1"/>
  <c r="E221" i="1"/>
  <c r="E216" i="1"/>
  <c r="D217" i="1"/>
  <c r="D218" i="1"/>
  <c r="D219" i="1"/>
  <c r="D220" i="1"/>
  <c r="D221" i="1"/>
  <c r="D216" i="1"/>
  <c r="D205" i="1"/>
  <c r="D206" i="1"/>
  <c r="D207" i="1"/>
  <c r="D208" i="1"/>
  <c r="D209" i="1"/>
  <c r="D210" i="1"/>
  <c r="D204" i="1"/>
  <c r="C197" i="1"/>
  <c r="C198" i="1"/>
  <c r="C199" i="1"/>
  <c r="C200" i="1"/>
  <c r="C196" i="1"/>
  <c r="B185" i="1"/>
  <c r="B186" i="1"/>
  <c r="B187" i="1"/>
  <c r="B188" i="1"/>
  <c r="B189" i="1"/>
  <c r="B190" i="1"/>
  <c r="B184" i="1"/>
  <c r="C155" i="1"/>
  <c r="C156" i="1"/>
  <c r="C157" i="1"/>
  <c r="C158" i="1"/>
  <c r="C159" i="1"/>
  <c r="C160" i="1"/>
  <c r="C161" i="1"/>
  <c r="C154" i="1"/>
  <c r="B150" i="1"/>
  <c r="C146" i="1" s="1"/>
  <c r="C137" i="1"/>
  <c r="C136" i="1"/>
  <c r="D136" i="1"/>
  <c r="D137" i="1"/>
  <c r="D138" i="1"/>
  <c r="D139" i="1"/>
  <c r="D135" i="1"/>
  <c r="C138" i="1"/>
  <c r="C139" i="1"/>
  <c r="C135" i="1"/>
  <c r="B125" i="1"/>
  <c r="C99" i="1"/>
  <c r="D74" i="1"/>
  <c r="B74" i="1"/>
  <c r="D52" i="1"/>
  <c r="D53" i="1"/>
  <c r="D54" i="1"/>
  <c r="D55" i="1"/>
  <c r="D56" i="1"/>
  <c r="D57" i="1"/>
  <c r="D58" i="1"/>
  <c r="D59" i="1"/>
  <c r="D60" i="1"/>
  <c r="D61" i="1"/>
  <c r="D51" i="1"/>
  <c r="C52" i="1"/>
  <c r="C53" i="1"/>
  <c r="C54" i="1"/>
  <c r="C55" i="1"/>
  <c r="C56" i="1"/>
  <c r="C57" i="1"/>
  <c r="C58" i="1"/>
  <c r="C59" i="1"/>
  <c r="C60" i="1"/>
  <c r="C61" i="1"/>
  <c r="C51" i="1"/>
  <c r="C40" i="1"/>
  <c r="C41" i="1"/>
  <c r="C42" i="1"/>
  <c r="C43" i="1"/>
  <c r="C44" i="1"/>
  <c r="C39" i="1"/>
  <c r="D29" i="1"/>
  <c r="D30" i="1"/>
  <c r="D31" i="1"/>
  <c r="D32" i="1"/>
  <c r="D33" i="1"/>
  <c r="D28" i="1"/>
  <c r="A24" i="1"/>
  <c r="B14" i="1"/>
  <c r="B3" i="1"/>
  <c r="F1200" i="1"/>
  <c r="F1198" i="1"/>
  <c r="F1215" i="1"/>
  <c r="C359" i="1"/>
  <c r="C476" i="1"/>
  <c r="C894" i="1"/>
  <c r="G441" i="1"/>
  <c r="C477" i="1"/>
  <c r="B702" i="1"/>
  <c r="B500" i="1"/>
  <c r="B743" i="1"/>
  <c r="C765" i="1"/>
  <c r="I1106" i="1"/>
  <c r="C824" i="1"/>
  <c r="C669" i="1"/>
  <c r="C427" i="1"/>
  <c r="B684" i="1"/>
  <c r="E627" i="1"/>
  <c r="D269" i="1"/>
  <c r="C534" i="1"/>
  <c r="B795" i="1"/>
  <c r="B256" i="1"/>
  <c r="B1073" i="1"/>
  <c r="D653" i="1"/>
  <c r="G869" i="1"/>
  <c r="C847" i="1"/>
  <c r="G315" i="1"/>
  <c r="B742" i="1"/>
  <c r="E295" i="1"/>
  <c r="D774" i="1"/>
  <c r="C610" i="1"/>
  <c r="C585" i="1"/>
  <c r="B1013" i="1"/>
  <c r="C343" i="1"/>
  <c r="B464" i="1"/>
  <c r="B411" i="1"/>
  <c r="E204" i="1"/>
  <c r="C823" i="1"/>
  <c r="B550" i="1"/>
  <c r="B980" i="1"/>
  <c r="E894" i="1"/>
  <c r="B937" i="1"/>
  <c r="G1032" i="1"/>
  <c r="C236" i="1"/>
  <c r="D283" i="1"/>
  <c r="D385" i="1"/>
  <c r="B572" i="1"/>
  <c r="B718" i="1"/>
  <c r="B756" i="1"/>
  <c r="F869" i="1"/>
  <c r="C825" i="1"/>
  <c r="C1200" i="1" l="1"/>
  <c r="D1198" i="1"/>
  <c r="D1199" i="1"/>
  <c r="E1198" i="1"/>
  <c r="C1109" i="1"/>
  <c r="C1110" i="1"/>
  <c r="B896" i="1"/>
  <c r="B895" i="1"/>
  <c r="B894" i="1"/>
  <c r="B898" i="1"/>
  <c r="B897" i="1"/>
  <c r="B792" i="1"/>
  <c r="B793" i="1" s="1"/>
  <c r="C787" i="1"/>
  <c r="B790" i="1"/>
  <c r="F317" i="1"/>
  <c r="D299" i="1"/>
  <c r="C145" i="1"/>
  <c r="C149" i="1"/>
  <c r="C148" i="1"/>
  <c r="C147" i="1"/>
  <c r="C45"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<sst xmlns="http://schemas.openxmlformats.org/spreadsheetml/2006/main" count="1573" uniqueCount="1175">
  <si>
    <t>Double-click on cell A1 in the spreadsheet editor. Replace the placeholder text with:</t>
  </si>
  <si>
    <t>Monthly financial overview</t>
  </si>
  <si>
    <t>Income</t>
  </si>
  <si>
    <t>Rent</t>
  </si>
  <si>
    <t>Groceries</t>
  </si>
  <si>
    <t>Miscellaneous</t>
  </si>
  <si>
    <t>Total after expenses</t>
  </si>
  <si>
    <t>Item</t>
  </si>
  <si>
    <t>Quantity</t>
  </si>
  <si>
    <t>Unit price ($)</t>
  </si>
  <si>
    <t>Extended cost ($)</t>
  </si>
  <si>
    <t>Notebook (A5)</t>
  </si>
  <si>
    <t>USB-C cable (2m)</t>
  </si>
  <si>
    <t>Wireless mouse</t>
  </si>
  <si>
    <t>Desk mat</t>
  </si>
  <si>
    <t>Pen set (12-pack)</t>
  </si>
  <si>
    <t>Sticky notes (6-pack)</t>
  </si>
  <si>
    <t>Record</t>
  </si>
  <si>
    <t>Imported value</t>
  </si>
  <si>
    <t>Converted number</t>
  </si>
  <si>
    <t>Invoice 1001</t>
  </si>
  <si>
    <t>Invoice 1002</t>
  </si>
  <si>
    <t>Invoice 1003</t>
  </si>
  <si>
    <t>Invoice 1004</t>
  </si>
  <si>
    <t>Invoice 1005</t>
  </si>
  <si>
    <t>Invoice 1006</t>
  </si>
  <si>
    <t>Total</t>
  </si>
  <si>
    <t>Clean imported time offsets with INT and TRUNC</t>
  </si>
  <si>
    <t>Use the AVERAGE function in cell A7 to calculate the average of the numbers in cells A1 through A5.</t>
  </si>
  <si>
    <t>Label</t>
  </si>
  <si>
    <t>Value</t>
  </si>
  <si>
    <t>INT result</t>
  </si>
  <si>
    <t>TRUNC result</t>
  </si>
  <si>
    <t>Route 18 late start</t>
  </si>
  <si>
    <t>Dock check-in delay</t>
  </si>
  <si>
    <t>Scanner sync lag</t>
  </si>
  <si>
    <t>Morning pickup offset</t>
  </si>
  <si>
    <t>Shift handoff offset</t>
  </si>
  <si>
    <t>Gate reopen offset</t>
  </si>
  <si>
    <t>Lunch break overrun</t>
  </si>
  <si>
    <t>Clock reset offset</t>
  </si>
  <si>
    <t>Trailer arrival lag</t>
  </si>
  <si>
    <t>Dispatch tablet drift</t>
  </si>
  <si>
    <t>Yard exit adjustment</t>
  </si>
  <si>
    <t>Count items in a list</t>
  </si>
  <si>
    <t>What you need to do
Click cell B10.
Use COUNTA to count how many product names are listed in cells A2:A8.
Click cell D10.
Use COUNT to count how many quantity values (numbers) are entered in cells C2:C8.
When you’re done, you should see the total number of products in B10, and the number of filled-in quantities in D10.</t>
  </si>
  <si>
    <t>Product</t>
  </si>
  <si>
    <t>Category</t>
  </si>
  <si>
    <t>Bin</t>
  </si>
  <si>
    <t>USB-C Cable</t>
  </si>
  <si>
    <t>Cables</t>
  </si>
  <si>
    <t>A1</t>
  </si>
  <si>
    <t>HDMI Adapter</t>
  </si>
  <si>
    <t>Adapters</t>
  </si>
  <si>
    <t>A3</t>
  </si>
  <si>
    <t>Wireless Mouse</t>
  </si>
  <si>
    <t>Peripherals</t>
  </si>
  <si>
    <t>B2</t>
  </si>
  <si>
    <t>Keyboard</t>
  </si>
  <si>
    <t>B3</t>
  </si>
  <si>
    <t>Laptop Stand</t>
  </si>
  <si>
    <t>Accessories</t>
  </si>
  <si>
    <t>C1</t>
  </si>
  <si>
    <t>Ethernet Switch</t>
  </si>
  <si>
    <t>Networking</t>
  </si>
  <si>
    <t>D4</t>
  </si>
  <si>
    <t>Label Printer</t>
  </si>
  <si>
    <t>Equipment</t>
  </si>
  <si>
    <t>E2</t>
  </si>
  <si>
    <t>Products listed:</t>
  </si>
  <si>
    <t>Qty entered:</t>
  </si>
  <si>
    <t>Find the maximum value</t>
  </si>
  <si>
    <t>What you need to do
Look at the monthly sales amounts in cells B2:B9.
Click cell B10 (the result cell next to “Highest monthly sales:”).
Enter a formula that returns the highest sales value from range B2:B9.
Press Enter. Cell B10 should show the largest monthly sales amount.</t>
  </si>
  <si>
    <t>Month</t>
  </si>
  <si>
    <t>Sales (USD)</t>
  </si>
  <si>
    <t>January</t>
  </si>
  <si>
    <t>February</t>
  </si>
  <si>
    <t>March</t>
  </si>
  <si>
    <t>April</t>
  </si>
  <si>
    <t>May</t>
  </si>
  <si>
    <t>June</t>
  </si>
  <si>
    <t>July</t>
  </si>
  <si>
    <t>August</t>
  </si>
  <si>
    <t>Highest monthly sales:</t>
  </si>
  <si>
    <t>Find the minimum value</t>
  </si>
  <si>
    <t>What you need to do
Click cell C9 (the cell next to "Lowest expense:").
Type a formula that returns the minimum value in the range C2:C7.
Press Enter to calculate the lowest expense amount.</t>
  </si>
  <si>
    <t>Budget line item</t>
  </si>
  <si>
    <t>Department</t>
  </si>
  <si>
    <t>Amount ($)</t>
  </si>
  <si>
    <t>Office supplies</t>
  </si>
  <si>
    <t>Operations</t>
  </si>
  <si>
    <t>Software subscriptions</t>
  </si>
  <si>
    <t>Finance</t>
  </si>
  <si>
    <t>Team lunch</t>
  </si>
  <si>
    <t>People</t>
  </si>
  <si>
    <t>Travel (local)</t>
  </si>
  <si>
    <t>Sales</t>
  </si>
  <si>
    <t>Training course</t>
  </si>
  <si>
    <t>FP&amp;A</t>
  </si>
  <si>
    <t>Printing</t>
  </si>
  <si>
    <t>Lowest expense:</t>
  </si>
  <si>
    <t>Basic COUNTIF</t>
  </si>
  <si>
    <t>COUNTIF(range, condition)</t>
  </si>
  <si>
    <t>What you need to do
In this sheet, you'll use an order dataset as the example:
Look at the order list in rows 2–8. The Category values are in column C.
Click cell D10.
Use COUNTIF to count how many of those category cells are exactly Electronics.
Press Enter.
When you’re done, cell D10 should show the number of Electronics entries.</t>
  </si>
  <si>
    <t>Order ID</t>
  </si>
  <si>
    <t>Order date</t>
  </si>
  <si>
    <t>Electronics</t>
  </si>
  <si>
    <t>Home</t>
  </si>
  <si>
    <t>Apparel</t>
  </si>
  <si>
    <t>Toys</t>
  </si>
  <si>
    <t>Electronics orders</t>
  </si>
  <si>
    <t>Find the median salary</t>
  </si>
  <si>
    <t>MEDIAN(range)
What you need to do
This sheet shows an employee compensation list in rows 2 through 9. The salary values are in column C.
Click cell B11.
Use MEDIAN to calculate the middle salary from the salary list.
Look at the prefilled average in B12 after you finish.
When you're done, compare the numbers in B11 and B12 to see how the outlier affects the average more than the median.</t>
  </si>
  <si>
    <t>Employee</t>
  </si>
  <si>
    <t>Salary</t>
  </si>
  <si>
    <t>Maya Patel</t>
  </si>
  <si>
    <t>HR</t>
  </si>
  <si>
    <t>Jordan Lee</t>
  </si>
  <si>
    <t>Sofia Gomez</t>
  </si>
  <si>
    <t>Marketing</t>
  </si>
  <si>
    <t>Ethan Brooks</t>
  </si>
  <si>
    <t>Nina Chen</t>
  </si>
  <si>
    <t>Caleb Wright</t>
  </si>
  <si>
    <t>Support</t>
  </si>
  <si>
    <t>Priya Shah</t>
  </si>
  <si>
    <t>Lucas Reed</t>
  </si>
  <si>
    <t>Executive</t>
  </si>
  <si>
    <t>Median salary</t>
  </si>
  <si>
    <t>Average salary</t>
  </si>
  <si>
    <t>$71,125</t>
  </si>
  <si>
    <t>Absolute reference practice</t>
  </si>
  <si>
    <t>What you need to do
In this sheet:
The sales tax rate is in A2
Unit prices are in B5:B9
Your goal is to calculate the after-tax price for each product in column C.
Click cell C5 (Price with tax).
Enter a formula that takes the unit price in B5 and multiplies it by (1 + tax rate).
Make the tax rate cell an absolute reference (so A2 stays fixed when you copy the formula).
Press Enter.
Copy the formula down through C9.
To copy down, select C5 and drag the small square at the bottom-right corner of the cell down to C9.</t>
  </si>
  <si>
    <t>Sales tax rate</t>
  </si>
  <si>
    <t>USB-C charging cable</t>
  </si>
  <si>
    <t>Desk chair mat</t>
  </si>
  <si>
    <t>Notebook (3-pack)</t>
  </si>
  <si>
    <t>Water bottle</t>
  </si>
  <si>
    <t>Price with tax ($) with $</t>
  </si>
  <si>
    <t>Price with tax ($) no $</t>
  </si>
  <si>
    <t>Simple percentage calculation</t>
  </si>
  <si>
    <t>What you need to do
Click cell B8.
Calculate the total budget by summing the values in B2:B6.
Click cell C2.
Calculate Marketing’s share of the total by dividing the budget in B2 by the total budget in B8.
Copy your formula down from C2 through C6 to calculate the percentage for the other departments.</t>
  </si>
  <si>
    <t>Annual budget ($)</t>
  </si>
  <si>
    <t>% of total</t>
  </si>
  <si>
    <t>R&amp;D</t>
  </si>
  <si>
    <t>Total budget</t>
  </si>
  <si>
    <t>Combine text with CONCATENATE</t>
  </si>
  <si>
    <t>CONCATENATE("text1", "text2", "text3")
This returns text1text2text3. It simply combines everything you give it, in order.
Your task
The spreadsheet has first names in cells A1:A8 and last names in cells B1:B8.
Use the CONCATENATE function in cell C1 to combine the first name in A1, a space, and the last name in B1 into a full name.
Then copy the formula down through C8 so every row has a full name.</t>
  </si>
  <si>
    <t>John</t>
  </si>
  <si>
    <t>Doe</t>
  </si>
  <si>
    <t>Nicole</t>
  </si>
  <si>
    <t>Rogers</t>
  </si>
  <si>
    <t>Liam</t>
  </si>
  <si>
    <t>Simpson</t>
  </si>
  <si>
    <t>Peter</t>
  </si>
  <si>
    <t>Stein</t>
  </si>
  <si>
    <t>Anthony</t>
  </si>
  <si>
    <t>Newton</t>
  </si>
  <si>
    <t>Lydia</t>
  </si>
  <si>
    <t>Ross</t>
  </si>
  <si>
    <t>Emmy</t>
  </si>
  <si>
    <t>Watts</t>
  </si>
  <si>
    <t>David</t>
  </si>
  <si>
    <t>Fraser</t>
  </si>
  <si>
    <t>TRIM(text)    Use TRIM to remove extra spaces from text while keeping single spaces between words.</t>
  </si>
  <si>
    <t>PROPER(text)    Use PROPER to convert text to standard title case.</t>
  </si>
  <si>
    <t>Fill cells B2:B11 and D2:D11 so the cleaned columns show properly capitalized names and notes with tidy spacing.
In cell B2, enter a PROPER formula that references the original customer name in A2.
In cell D2, enter a TRIM formula that references the imported note in C2.
Fill both formulas down through row 11 so each row completes the same cleanup workflow for the matching name and note.</t>
  </si>
  <si>
    <t>Original name</t>
  </si>
  <si>
    <t>Original note</t>
  </si>
  <si>
    <t>john SMITH</t>
  </si>
  <si>
    <t>John Smith</t>
  </si>
  <si>
    <t>Called back left voicemail</t>
  </si>
  <si>
    <t>MARIA garcia</t>
  </si>
  <si>
    <t>Maria Garcia</t>
  </si>
  <si>
    <t>Prefers email contact</t>
  </si>
  <si>
    <t>bob O'BRIEN</t>
  </si>
  <si>
    <t>Bob O'Brien</t>
  </si>
  <si>
    <t>VIP customer handle with care</t>
  </si>
  <si>
    <t>liSA chen</t>
  </si>
  <si>
    <t>Lisa Chen</t>
  </si>
  <si>
    <t>Invoice sent awaiting reply</t>
  </si>
  <si>
    <t>aNNa lopez</t>
  </si>
  <si>
    <t>Anna Lopez</t>
  </si>
  <si>
    <t>Requested quote by Friday</t>
  </si>
  <si>
    <t>michael ODOM</t>
  </si>
  <si>
    <t>Michael Odom</t>
  </si>
  <si>
    <t>New account setup complete</t>
  </si>
  <si>
    <t>sARAh patel</t>
  </si>
  <si>
    <t>Sarah Patel</t>
  </si>
  <si>
    <t>Follow up after demo</t>
  </si>
  <si>
    <t>dAVID nguyen</t>
  </si>
  <si>
    <t>David Nguyen</t>
  </si>
  <si>
    <t>Contract sent pending signature</t>
  </si>
  <si>
    <t>eMILY JOHNSON</t>
  </si>
  <si>
    <t>Emily Johnson</t>
  </si>
  <si>
    <t>Portal invite resent</t>
  </si>
  <si>
    <t>keVIN MARTIN</t>
  </si>
  <si>
    <t>Kevin Martin</t>
  </si>
  <si>
    <t>Address updated verified</t>
  </si>
  <si>
    <t>Cleaned name ( PROPER )</t>
  </si>
  <si>
    <t>Cleaned note ( TRIM )</t>
  </si>
  <si>
    <t>Extract department code with LEFT</t>
  </si>
  <si>
    <t>LEFT("ABCDE", 3) returns "ABC"
What you need to do
Click cell B2 (the first empty cell in the Department code column).
Enter a LEFT formula that extracts the department code from the SKU in A2.
Press Enter. Cell B2 should show only the department letters.
Copy your formula down through B8 to fill in all the department codes.</t>
  </si>
  <si>
    <t>SKU</t>
  </si>
  <si>
    <t>Department code</t>
  </si>
  <si>
    <t>FIN-1042</t>
  </si>
  <si>
    <t>MKT-2031</t>
  </si>
  <si>
    <t>OPS-3157</t>
  </si>
  <si>
    <t>HRD-4023</t>
  </si>
  <si>
    <t>ITS-5089</t>
  </si>
  <si>
    <t>SLS-6044</t>
  </si>
  <si>
    <t>ADM-7012</t>
  </si>
  <si>
    <t>Review the imported offset values in B2:B12.
In column C, enter a formula that uses INT on the value from the same row.
In column D, enter a formula that uses TRUNC on the value from the same row.
Fill both columns through row 12.
Compare the negative offsets to see where the two functions produce different results.
When you're done, columns C and D should show the cleaned whole-minute versions of every imported offset.</t>
  </si>
  <si>
    <t>SUM</t>
  </si>
  <si>
    <t>Use the SUM function in cell B7 to calculate the total monthly income after expenses.</t>
  </si>
  <si>
    <t>VALUE(text)
The text argument is the cell that contains the number stored as text.
What you need to do:
Review the imported values in cells B2:B7.
Notice the totals in row 9: the imported values in B9 do not total correctly yet because those values are still stored as text.
Click cell C2.
Use VALUE to convert the text in B2 into a number.
Press Enter.
Copy the formula from C2 down through C7.
When you're done, column C should contain real numbers, and the total in C9 should update correctly as you fill in the conversions.</t>
  </si>
  <si>
    <t>VALUE</t>
  </si>
  <si>
    <t>IF(logical_test, value_if_true, value_if_false)</t>
  </si>
  <si>
    <t>Pass or fail with IF</t>
  </si>
  <si>
    <t>A group of students took a test. They pass if their score is higher than 60. The scores are in cells B2 through B6.
Use the IF function in cell C2 to output "Pass" or "Fail" for the first student. Then copy your formula down to C6 so it applies to all 5 students.</t>
  </si>
  <si>
    <t>Person</t>
  </si>
  <si>
    <t>Score</t>
  </si>
  <si>
    <t>Result</t>
  </si>
  <si>
    <t>Alice</t>
  </si>
  <si>
    <t>Bob</t>
  </si>
  <si>
    <t>Charlie</t>
  </si>
  <si>
    <t>Drew</t>
  </si>
  <si>
    <t>Ernie</t>
  </si>
  <si>
    <t>Practicing and, or, and if
We want to create a formula that will return Yes when the quantity is between 16 (including 16 itself) and 29 (including 29 itself). It should also return Yes when the quantity is above 55 (excluding 55 itself). Any other value should make the formula return No.
Use the formula in cell range D2:D8.</t>
  </si>
  <si>
    <t>Expected answer</t>
  </si>
  <si>
    <t>Your answer</t>
  </si>
  <si>
    <t>No</t>
  </si>
  <si>
    <t>Yes</t>
  </si>
  <si>
    <t>DATEDIF(start_date, end_date, unit)</t>
  </si>
  <si>
    <t>Calculate age from birthdate</t>
  </si>
  <si>
    <t>What you need to do:
Click cell D2.
Write a formula using DATEDIF to calculate the employee’s age (in years) using:
the birthdate in the same row (column C)
TODAY() as the end date
Press Enter.
Fill the formula down from D2 through D7.</t>
  </si>
  <si>
    <t>Employee ID</t>
  </si>
  <si>
    <t>Employee name</t>
  </si>
  <si>
    <t>Date of birth</t>
  </si>
  <si>
    <t>Age (years)</t>
  </si>
  <si>
    <t>E-1023</t>
  </si>
  <si>
    <t>Amina Khan</t>
  </si>
  <si>
    <t>E-1041</t>
  </si>
  <si>
    <t>Diego Silva</t>
  </si>
  <si>
    <t>E-1007</t>
  </si>
  <si>
    <t>Marcus Lee</t>
  </si>
  <si>
    <t>E-0988</t>
  </si>
  <si>
    <t>Hana Novak</t>
  </si>
  <si>
    <t>E-1064</t>
  </si>
  <si>
    <t>Liu Wei</t>
  </si>
  <si>
    <t>E-1015</t>
  </si>
  <si>
    <t>Sofia Rossi</t>
  </si>
  <si>
    <t>Age(month)</t>
  </si>
  <si>
    <t>Look up a product with XLOOKUP</t>
  </si>
  <si>
    <t>XLOOKUP(lookup_value, lookup_array, return_array)
lookup_value: the value you want to find (a product code, a name, an ID, etc.)
lookup_array: the column to search in
return_array: the column to return a value from</t>
  </si>
  <si>
    <t>A product catalog is listed in rows 1–8 (product code, product name, category). Below it, cell B10 contains a product code you want to look up.
Click cell B11.
Write an XLOOKUP formula that finds the product code in B10 within the product code column (A2:A8).
Return the matching value from the category column (C2:C8).
Press Enter.
When you're done, B11 should show the category for that product code.</t>
  </si>
  <si>
    <t>Product code</t>
  </si>
  <si>
    <t>Product name</t>
  </si>
  <si>
    <t>PT-102</t>
  </si>
  <si>
    <t>Push pins</t>
  </si>
  <si>
    <t>MK-205</t>
  </si>
  <si>
    <t>Dry-erase markers</t>
  </si>
  <si>
    <t>WB-401</t>
  </si>
  <si>
    <t>Dry-erase whiteboard</t>
  </si>
  <si>
    <t>Office equipment</t>
  </si>
  <si>
    <t>SC-108</t>
  </si>
  <si>
    <t>Scissors</t>
  </si>
  <si>
    <t>FD-312</t>
  </si>
  <si>
    <t>File folders</t>
  </si>
  <si>
    <t>ST-220</t>
  </si>
  <si>
    <t>Stapler</t>
  </si>
  <si>
    <t>NB-150</t>
  </si>
  <si>
    <t>Spiral notebook</t>
  </si>
  <si>
    <t>Look up this product code</t>
  </si>
  <si>
    <t>XLOOKUP(lookup_value, lookup_array, return_array)
lookup_value: the value you want to find (a SKU, a name, an ID, etc.)
lookup_array: the column to search in
return_array: the column to return a value from</t>
  </si>
  <si>
    <t>XLOOKUP with exact match</t>
  </si>
  <si>
    <t>Item name</t>
  </si>
  <si>
    <t>Qty in stock</t>
  </si>
  <si>
    <t>SKU-1140</t>
  </si>
  <si>
    <t>Cable ties (100-pack)</t>
  </si>
  <si>
    <t>SKU-1141</t>
  </si>
  <si>
    <t>Zip-lock bags (50-pack)</t>
  </si>
  <si>
    <t>SKU-1142</t>
  </si>
  <si>
    <t>Stretch wrap roll</t>
  </si>
  <si>
    <t>SKU-1143</t>
  </si>
  <si>
    <t>Packing tape (36-pack)</t>
  </si>
  <si>
    <t>SKU-1144</t>
  </si>
  <si>
    <t>Bubble wrap (25m)</t>
  </si>
  <si>
    <t>SKU-1145</t>
  </si>
  <si>
    <t>Label printer paper (500 sheets)</t>
  </si>
  <si>
    <t>SKU-1146</t>
  </si>
  <si>
    <t>Box cutter</t>
  </si>
  <si>
    <t>Stock qty</t>
  </si>
  <si>
    <t>IF with numeric output</t>
  </si>
  <si>
    <t>You have monthly sales and targets in columns B and C. In column D, you’ll calculate the bonus:
If Sales &gt; Target, bonus = 10% of Sales i.e. add 10 of Monthaly sales to the target
Otherwise, bonus = 0</t>
  </si>
  <si>
    <t>Monthly sales ($)</t>
  </si>
  <si>
    <t>Target ($)</t>
  </si>
  <si>
    <t>Bonus ($)</t>
  </si>
  <si>
    <t>Ava</t>
  </si>
  <si>
    <t>Ben</t>
  </si>
  <si>
    <t>Cam</t>
  </si>
  <si>
    <t>Elle</t>
  </si>
  <si>
    <t>Finn</t>
  </si>
  <si>
    <t>Gia</t>
  </si>
  <si>
    <t>Simple IF statement</t>
  </si>
  <si>
    <t>Click cell D2 (the first cell under Status).
Type an IF formula that checks whether the sales value in B2 meets or exceeds the target in C2.
If the rep met the target, return On target. Otherwise, return Below target.
Press Enter.
Copy your formula down from D2 to D8 (you can drag the small square in the bottom-right corner of D2).</t>
  </si>
  <si>
    <t>Sales rep</t>
  </si>
  <si>
    <t>Sales ($)</t>
  </si>
  <si>
    <t>Status</t>
  </si>
  <si>
    <t>Calculate percentage change</t>
  </si>
  <si>
    <t>(new value - old value) / old value</t>
  </si>
  <si>
    <t>Quarter</t>
  </si>
  <si>
    <t>Last year revenue ($)</t>
  </si>
  <si>
    <t>This year revenue ($)</t>
  </si>
  <si>
    <t>% change</t>
  </si>
  <si>
    <t>Q1</t>
  </si>
  <si>
    <t>Q2</t>
  </si>
  <si>
    <t>Q3</t>
  </si>
  <si>
    <t>Q4</t>
  </si>
  <si>
    <t>1. Click cell B6 (Total last year).</t>
  </si>
  <si>
    <t>2. Calculate the total of B2:B5.</t>
  </si>
  <si>
    <t>3. Click cell C6 (Total this year).</t>
  </si>
  <si>
    <t>4. Calculate the total of C2:C5.</t>
  </si>
  <si>
    <t>5. Click cell D2 and calculate % change for Q1 using this pattern:</t>
  </si>
  <si>
    <t>6. Fill the same formula down through D5.</t>
  </si>
  <si>
    <t>7. In D6, calculate % change for the totals using C6 and B6.</t>
  </si>
  <si>
    <t>8. Press Enter.</t>
  </si>
  <si>
    <t>SUMPRODUCT for weighted average</t>
  </si>
  <si>
    <t>Fill in the summary cells on the right:</t>
  </si>
  <si>
    <t>total spend / total quantity</t>
  </si>
  <si>
    <t>PO #</t>
  </si>
  <si>
    <t>Supplier</t>
  </si>
  <si>
    <t>Summary</t>
  </si>
  <si>
    <t>PO-1041</t>
  </si>
  <si>
    <t>Nordic Metals</t>
  </si>
  <si>
    <t>Total quantity</t>
  </si>
  <si>
    <t>PO-1042</t>
  </si>
  <si>
    <t>Atlas Supply</t>
  </si>
  <si>
    <t>Total spend ($)</t>
  </si>
  <si>
    <t>PO-1043</t>
  </si>
  <si>
    <t>Coastal Steel</t>
  </si>
  <si>
    <t>Weighted avg unit price ($)</t>
  </si>
  <si>
    <t>PO-1044</t>
  </si>
  <si>
    <t>PO-1045</t>
  </si>
  <si>
    <t>PO-1046</t>
  </si>
  <si>
    <t>PO-1047</t>
  </si>
  <si>
    <t>PO-1048</t>
  </si>
  <si>
    <t>You’re reviewing purchase orders in A1:D9:</t>
  </si>
  <si>
    <t>Unit price is in C2:C9</t>
  </si>
  <si>
    <t>Quantity is in D2:D9</t>
  </si>
  <si>
    <t>1. In G2, calculate the total quantity using SUMPRODUCT.</t>
  </si>
  <si>
    <t>2. In G3, calculate the total spend (unit price × quantity) using SUMPRODUCT.</t>
  </si>
  <si>
    <t>3. In G4, calculate the weighted average unit price:</t>
  </si>
  <si>
    <t>Use VLOOKUP to find an employee’s department</t>
  </si>
  <si>
    <t>VLOOKUP(lookup_value, table_array, col_index_num, [range_lookup])</t>
  </si>
  <si>
    <t>Directory</t>
  </si>
  <si>
    <t>IT</t>
  </si>
  <si>
    <t>Payroll</t>
  </si>
  <si>
    <t>Lookup</t>
  </si>
  <si>
    <t>Department (fill this)</t>
  </si>
  <si>
    <t>HLOOKUP(lookup_value, table_array, row_index_num, [range_lookup])</t>
  </si>
  <si>
    <t>HLOOKUP for quarterly targets</t>
  </si>
  <si>
    <t>3. Return the sales target from row 2 of the table.</t>
  </si>
  <si>
    <t>Metric</t>
  </si>
  <si>
    <t>Sales target</t>
  </si>
  <si>
    <t>Target</t>
  </si>
  <si>
    <t>1. Click cell B11.</t>
  </si>
  <si>
    <t>2. Type a VLOOKUP formula that uses the employee ID in A11 and searches the directory in A3:B7.</t>
  </si>
  <si>
    <t>3. Return the Department from the directory (the second column of the directory table).</t>
  </si>
  <si>
    <t>4. Use exact match so Excel only matches the exact employee ID.</t>
  </si>
  <si>
    <t>5. Lock the directory range with $ so you can copy the formula.</t>
  </si>
  <si>
    <t>6. Copy your formula down from B11 to B14.</t>
  </si>
  <si>
    <t>1. Click cell B5.</t>
  </si>
  <si>
    <t>2. Write an HLOOKUP formula that looks up the quarter in B4 within the targets table in A1:E2.</t>
  </si>
  <si>
    <t>4. Use FALSE for an exact match.</t>
  </si>
  <si>
    <t>VLOOKUP with approximate match</t>
  </si>
  <si>
    <t>Shipping teams often price delivery in tiers (for example: 0–1 lb, 1–5 lb, 5–10 lb, and so on). In Excel, this is a classic use case for VLOOKUP with an approximate match.</t>
  </si>
  <si>
    <t>Requirements:</t>
  </si>
  <si>
    <t>2. Lock the rate table range so you can copy the formula down.</t>
  </si>
  <si>
    <t>Shipping rate lookup (approximate match)</t>
  </si>
  <si>
    <t>Calculate a per-pound shipping rate based on package weight using VLOOKUP with approximate match (TRUE).</t>
  </si>
  <si>
    <t>Orders</t>
  </si>
  <si>
    <t>Rate table</t>
  </si>
  <si>
    <t>Order #</t>
  </si>
  <si>
    <t>Zone</t>
  </si>
  <si>
    <t>Weight (lb)</t>
  </si>
  <si>
    <t>Rate ($/lb)</t>
  </si>
  <si>
    <t>Shipping cost</t>
  </si>
  <si>
    <t>Min weight (lb)</t>
  </si>
  <si>
    <t>SO-10421</t>
  </si>
  <si>
    <t>Domestic</t>
  </si>
  <si>
    <t>SO-10422</t>
  </si>
  <si>
    <t>SO-10423</t>
  </si>
  <si>
    <t>Canada</t>
  </si>
  <si>
    <t>SO-10424</t>
  </si>
  <si>
    <t>EU</t>
  </si>
  <si>
    <t>SO-10425</t>
  </si>
  <si>
    <t>A list of orders with package weights in C5:C9</t>
  </si>
  <si>
    <t>A tiered rate table in G5:H9 (minimum weight → rate per lb)</t>
  </si>
  <si>
    <t>Fill in D5:D9 with a formula that looks up the correct Rate ($/lb) based on each row’s Weight (lb).</t>
  </si>
  <si>
    <t>1. Use VLOOKUP with approximate match (TRUE) so each weight picks the highest tier that is less than or equal to the weight.</t>
  </si>
  <si>
    <t>3. Copy your formula from D5 down through D9.</t>
  </si>
  <si>
    <t>Find a customer's city with VLOOKUP</t>
  </si>
  <si>
    <t>3. Return the city for that customer.</t>
  </si>
  <si>
    <t>Customer ID</t>
  </si>
  <si>
    <t>Customer name</t>
  </si>
  <si>
    <t>City</t>
  </si>
  <si>
    <t>State</t>
  </si>
  <si>
    <t>C1001</t>
  </si>
  <si>
    <t>Riverside Bakery</t>
  </si>
  <si>
    <t>Portland</t>
  </si>
  <si>
    <t>OR</t>
  </si>
  <si>
    <t>C1002</t>
  </si>
  <si>
    <t>Summit Tech</t>
  </si>
  <si>
    <t>Seattle</t>
  </si>
  <si>
    <t>WA</t>
  </si>
  <si>
    <t>C1003</t>
  </si>
  <si>
    <t>Harbor Supplies</t>
  </si>
  <si>
    <t>Boston</t>
  </si>
  <si>
    <t>MA</t>
  </si>
  <si>
    <t>C1004</t>
  </si>
  <si>
    <t>Prairie Foods</t>
  </si>
  <si>
    <t>Denver</t>
  </si>
  <si>
    <t>CO</t>
  </si>
  <si>
    <t>C1005</t>
  </si>
  <si>
    <t>Coastal Gifts</t>
  </si>
  <si>
    <t>Miami</t>
  </si>
  <si>
    <t>FL</t>
  </si>
  <si>
    <t>C1006</t>
  </si>
  <si>
    <t>Maple Imports</t>
  </si>
  <si>
    <t>Chicago</t>
  </si>
  <si>
    <t>IL</t>
  </si>
  <si>
    <t>lookup_value: the value you want to find (the customer ID)</t>
  </si>
  <si>
    <t>table_array: the range that contains the data to search</t>
  </si>
  <si>
    <t>col_index_num: which column of the table to return (counting from the left edge of table_array)</t>
  </si>
  <si>
    <t>range_lookup: use FALSE for an exact match</t>
  </si>
  <si>
    <t>The customer directory is in cells A1:D7. Below it, cell B9 contains a customer ID, and cell B10 is where you need to enter your formula.</t>
  </si>
  <si>
    <t>1. Click cell B10.</t>
  </si>
  <si>
    <t>2. Write a VLOOKUP formula that looks up the customer ID in B9 in the directory table.</t>
  </si>
  <si>
    <t>4. Use FALSE as the last argument so Excel only matches the exact customer ID.</t>
  </si>
  <si>
    <t>XLOOKUP left lookup</t>
  </si>
  <si>
    <t>Sometimes the value you want is to the left of the value you have. VLOOKUP cannot return left, but XLOOKUP can.
XLOOKUP lets you pick the lookup column and the return column separately:
=XLOOKUP(lookup_value, lookup_array, return_array, "if_not_found")</t>
  </si>
  <si>
    <t>Price</t>
  </si>
  <si>
    <t>SK-100</t>
  </si>
  <si>
    <t>Travel Mug</t>
  </si>
  <si>
    <t>Drinkware</t>
  </si>
  <si>
    <t>SK-200</t>
  </si>
  <si>
    <t>Desk Mat</t>
  </si>
  <si>
    <t>Office</t>
  </si>
  <si>
    <t>SK-300</t>
  </si>
  <si>
    <t>USB Hub</t>
  </si>
  <si>
    <t>SK-400</t>
  </si>
  <si>
    <t>Product to find:</t>
  </si>
  <si>
    <t>SKU result:</t>
  </si>
  <si>
    <t>XLOOKUP with default</t>
  </si>
  <si>
    <t>Unit cost</t>
  </si>
  <si>
    <t>Restock SKU</t>
  </si>
  <si>
    <t>NW-1001</t>
  </si>
  <si>
    <t>Box Cutter</t>
  </si>
  <si>
    <t>Tools</t>
  </si>
  <si>
    <t>NW-1002</t>
  </si>
  <si>
    <t>Packing Tape (48mm)</t>
  </si>
  <si>
    <t>Packaging</t>
  </si>
  <si>
    <t>NW-1008</t>
  </si>
  <si>
    <t>NW-1003</t>
  </si>
  <si>
    <t>Bubble Wrap Roll</t>
  </si>
  <si>
    <t>NW-1004</t>
  </si>
  <si>
    <t>Pallet Wrap</t>
  </si>
  <si>
    <t>NW-1012</t>
  </si>
  <si>
    <t>NW-1005</t>
  </si>
  <si>
    <t>Safety Gloves (L)</t>
  </si>
  <si>
    <t>Safety</t>
  </si>
  <si>
    <t>NW-1006</t>
  </si>
  <si>
    <t>Label Printer Paper</t>
  </si>
  <si>
    <t>NW-9999</t>
  </si>
  <si>
    <t>NW-1007</t>
  </si>
  <si>
    <t>Warehouse Marking Tape</t>
  </si>
  <si>
    <t>You have an item master list in columns A:D (SKU, Product, Category, Unit cost). On the right, there’s a restock list of SKUs in F2:F8.
In cell G2, use XLOOKUP to return the Product name for the SKU in F2.
If the SKU isn’t in the item master list, return Discontinued (not an error).
Fill the formula down through G8.
Tip: Lock the lookup ranges (with $) so the formula copies down cleanly.</t>
  </si>
  <si>
    <t>In inventory datasets, you’ll often get a list of SKUs that includes old or discontinued items. Instead of returning an error, you can make your lookup return a clean default value.
XLOOKUP can return a fallback result using its optional if_not_found argument:
=XLOOKUP(lookup_value, lookup_array, return_array, "if_not_found")</t>
  </si>
  <si>
    <t>XLOOKUP with wildcard search</t>
  </si>
  <si>
    <t>In inventory work, product names are not always entered consistently. Sometimes you only know part of a product name, but you still need to find the matching item quickly.</t>
  </si>
  <si>
    <t>The full XLOOKUP syntax is:</t>
  </si>
  <si>
    <t>=XLOOKUP(lookup_value, lookup_array, return_array, [if_not_found], [match_mode])</t>
  </si>
  <si>
    <t>Unit price</t>
  </si>
  <si>
    <t>PK-101</t>
  </si>
  <si>
    <t>Pallet Wrap Film</t>
  </si>
  <si>
    <t>CL-204</t>
  </si>
  <si>
    <t>Industrial Cleaner Pro</t>
  </si>
  <si>
    <t>Cleaning supplies</t>
  </si>
  <si>
    <t>LB-220</t>
  </si>
  <si>
    <t>Storage Bin Label Set</t>
  </si>
  <si>
    <t>Storage</t>
  </si>
  <si>
    <t>CL-318</t>
  </si>
  <si>
    <t>Heavy-Duty Cleaner Spray</t>
  </si>
  <si>
    <t>SF-402</t>
  </si>
  <si>
    <t>Safety Floor Sign</t>
  </si>
  <si>
    <t>CL-509</t>
  </si>
  <si>
    <t>Citrus Surface Cleaner</t>
  </si>
  <si>
    <t>TB-615</t>
  </si>
  <si>
    <t>Tool Cart Liner</t>
  </si>
  <si>
    <t>Maintenance</t>
  </si>
  <si>
    <t>CW-730</t>
  </si>
  <si>
    <t>Cleaning Wipes Bulk Pack</t>
  </si>
  <si>
    <t>Search term</t>
  </si>
  <si>
    <t>Surface</t>
  </si>
  <si>
    <t>Matching product</t>
  </si>
  <si>
    <t>XLOOKUP can handle wildcard searches when you set the match_mode argument to 2. The asterisk (*) wildcard means "any sequence of characters", so a partial term can match a longer product name that contains that text.</t>
  </si>
  <si>
    <t>Lookup error handling</t>
  </si>
  <si>
    <t>Missing items are normal. The key is returning a clean message instead of #N/A.
You can wrap VLOOKUP with IFNA, or you can use XLOOKUP's built-in if_not_found argument</t>
  </si>
  <si>
    <t>You have a small inventory list in A2:C4 and a lookup SKU in B6.
In cell B7, write a VLOOKUP that returns the product name. Wrap it with IFNA so missing items return Not found.
In cell B8, write an XLOOKUP that returns the same result using its if_not_found argument.</t>
  </si>
  <si>
    <t>Stock</t>
  </si>
  <si>
    <t>NW-10</t>
  </si>
  <si>
    <t>Packing Tape</t>
  </si>
  <si>
    <t>NW-11</t>
  </si>
  <si>
    <t>Shipping Boxes</t>
  </si>
  <si>
    <t>NW-12</t>
  </si>
  <si>
    <t>Label Rolls</t>
  </si>
  <si>
    <t>Lookup SKU:</t>
  </si>
  <si>
    <t>NW-99</t>
  </si>
  <si>
    <t>VLOOKUP + IFNA:</t>
  </si>
  <si>
    <t>XLOOKUP not_found:</t>
  </si>
  <si>
    <t>Manager</t>
  </si>
  <si>
    <t>Team</t>
  </si>
  <si>
    <t>Pay grade</t>
  </si>
  <si>
    <t>Maria Gomez</t>
  </si>
  <si>
    <t>Ava Patel</t>
  </si>
  <si>
    <t>HR Ops</t>
  </si>
  <si>
    <t>P2</t>
  </si>
  <si>
    <t>Thomas Nguyen</t>
  </si>
  <si>
    <t>Elena Rossi</t>
  </si>
  <si>
    <t>P3</t>
  </si>
  <si>
    <t>Noah Kim</t>
  </si>
  <si>
    <t>Liam Chen</t>
  </si>
  <si>
    <t>Benefits</t>
  </si>
  <si>
    <t>Sophia Martinez</t>
  </si>
  <si>
    <t>David Brown</t>
  </si>
  <si>
    <t>Mia Johnson</t>
  </si>
  <si>
    <t>Recruiting</t>
  </si>
  <si>
    <t>P1</t>
  </si>
  <si>
    <t>Ethan Wilson</t>
  </si>
  <si>
    <t>Pay change requests</t>
  </si>
  <si>
    <t>Manager (fill)</t>
  </si>
  <si>
    <t>Reason</t>
  </si>
  <si>
    <t>Missing manager in request form</t>
  </si>
  <si>
    <t>New manager assignment needed</t>
  </si>
  <si>
    <t>Approval workflow requires manager</t>
  </si>
  <si>
    <t>Look up a manager with INDEX+MATCH</t>
  </si>
  <si>
    <t>A common lookup task is pulling the right manager name into a form or workflow step. The tricky part is that your lookup value isn’t always in the first column.
In this sheet, the roster is set up with Manager in column A and Employee in column B. That layout is common in exports, but it means a left-to-right lookup (like basic VLOOKUP) won’t fit the problem.
INDEX + MATCH solves this by:
Using MATCH to find the row where an employee name appears
Using INDEX to return the manager from the matching row</t>
  </si>
  <si>
    <t>Fill in the missing manager names for the three pay change requests:
Enter an INDEX-MATCH formula in C12 that looks up the manager for the employee in B12.
Copy the formula down through C14.</t>
  </si>
  <si>
    <t>INDEX-MATCH left lookup</t>
  </si>
  <si>
    <t>It's a common sight: exports where the columns aren’t in the order you wish they were. For example, email appears to the left of customer ID, so a basic VLOOKUP can’t return it.</t>
  </si>
  <si>
    <t>INDEX + MATCH solves this cleanly:</t>
  </si>
  <si>
    <t>Fill the missing emails for the campaign tasks:</t>
  </si>
  <si>
    <t>Use exact match in MATCH, and lock the directory ranges so your formula copies correctly.</t>
  </si>
  <si>
    <t>Email</t>
  </si>
  <si>
    <t>Segment</t>
  </si>
  <si>
    <t>alex.garcia@northwind.com</t>
  </si>
  <si>
    <t>C-1042</t>
  </si>
  <si>
    <t>Alex Garcia</t>
  </si>
  <si>
    <t>SMB</t>
  </si>
  <si>
    <t>bianca.chen@northwind.com</t>
  </si>
  <si>
    <t>C-1047</t>
  </si>
  <si>
    <t>Bianca Chen</t>
  </si>
  <si>
    <t>diego.souza@northwind.com</t>
  </si>
  <si>
    <t>C-1050</t>
  </si>
  <si>
    <t>Diego Souza</t>
  </si>
  <si>
    <t>Mid-market</t>
  </si>
  <si>
    <t>emma.johansson@northwind.com</t>
  </si>
  <si>
    <t>C-1055</t>
  </si>
  <si>
    <t>Emma Johansson</t>
  </si>
  <si>
    <t>Enterprise</t>
  </si>
  <si>
    <t>farah.khan@northwind.com</t>
  </si>
  <si>
    <t>C-1059</t>
  </si>
  <si>
    <t>Farah Khan</t>
  </si>
  <si>
    <t>henry.patel@northwind.com</t>
  </si>
  <si>
    <t>C-1061</t>
  </si>
  <si>
    <t>Henry Patel</t>
  </si>
  <si>
    <t>ingrid.larsen@northwind.com</t>
  </si>
  <si>
    <t>C-1068</t>
  </si>
  <si>
    <t>Ingrid Larsen</t>
  </si>
  <si>
    <t>jordan.reed@northwind.com</t>
  </si>
  <si>
    <t>C-1072</t>
  </si>
  <si>
    <t>Jordan Reed</t>
  </si>
  <si>
    <t>Campaign task</t>
  </si>
  <si>
    <t>Email (fill)</t>
  </si>
  <si>
    <t>Note</t>
  </si>
  <si>
    <t>Renewal reminder</t>
  </si>
  <si>
    <t>Email needed for send list</t>
  </si>
  <si>
    <t>Upsell outreach</t>
  </si>
  <si>
    <t>Confirm contact before sending</t>
  </si>
  <si>
    <t>Onboarding check-in</t>
  </si>
  <si>
    <t>Customer asked for follow-up</t>
  </si>
  <si>
    <t>MATCH finds the row number where a customer ID appears</t>
  </si>
  <si>
    <t>INDEX returns the email from that same row</t>
  </si>
  <si>
    <t>You have a customer directory in A1:D9, where Email is in column A and Customer ID is in column B.</t>
  </si>
  <si>
    <t>1. In C12, write an INDEX-MATCH formula that returns the email for the customer ID in B12.</t>
  </si>
  <si>
    <t>2. Copy the formula down through C14.</t>
  </si>
  <si>
    <t>INDEX-MATCH with MATCH in both directions</t>
  </si>
  <si>
    <t>Shipping teams often keep delivery prices in a matrix, with one category listed by row and another by column. A two-way lookup pulls the value where those two labels intersect, which makes this pattern useful for rate cards, schedules, and pricing tables.
In this exercise, you'll use INDEX with two MATCH functions to return the correct shipping rate. One MATCH should find the row for the selected zone, and the other should find the column for the selected weight bracket.
A common pattern looks like this:
=INDEX(data_range, MATCH(row_value, row_labels, 0), MATCH(column_value, column_labels, 0))</t>
  </si>
  <si>
    <t>0-5 kg</t>
  </si>
  <si>
    <t>5-10 kg</t>
  </si>
  <si>
    <t>10-20 kg</t>
  </si>
  <si>
    <t>20+ kg</t>
  </si>
  <si>
    <t>Local</t>
  </si>
  <si>
    <t>Regional</t>
  </si>
  <si>
    <t>National</t>
  </si>
  <si>
    <t>International</t>
  </si>
  <si>
    <t>Express</t>
  </si>
  <si>
    <t>Lookup zone</t>
  </si>
  <si>
    <t>Lookup weight</t>
  </si>
  <si>
    <t>Shipping rate</t>
  </si>
  <si>
    <t>XLOOKUP multiple criteria</t>
  </si>
  <si>
    <t>In real-world scenarios, you often need to look up data based on multiple criteria. While XLOOKUP is typically used for single-criterion lookups, you can nest XLOOKUP functions to handle two-dimensional lookups.
The key insight is that XLOOKUP's return_array parameter can itself be an XLOOKUP result. This creates a powerful two-way lookup:
=XLOOKUP(row_lookup, row_range, XLOOKUP(col_lookup, col_headers, data_range))
The inner XLOOKUP finds the correct column, returning an entire column of data. The outer XLOOKUP then finds the correct row within that column.</t>
  </si>
  <si>
    <t>Your task
You have a pricing table with products in column A and quarterly prices in columns B through E. The goal is to build a dynamic lookup that returns the price for any product in any quarter.
In cell H2, enter the product name "Widget D".
In cell H3, enter the quarter "Q3".
In cell H5, write a nested XLOOKUP formula that:
Uses the product in H2 to find the correct row
Uses the quarter in H3 to find the correct column
Returns the price at the intersection</t>
  </si>
  <si>
    <t>Find price for:</t>
  </si>
  <si>
    <t>Widget A</t>
  </si>
  <si>
    <t>Widget B</t>
  </si>
  <si>
    <t>Quarter:</t>
  </si>
  <si>
    <t>Widget C</t>
  </si>
  <si>
    <t>Widget D</t>
  </si>
  <si>
    <t>Price:</t>
  </si>
  <si>
    <t>Widget E</t>
  </si>
  <si>
    <t>Widget F</t>
  </si>
  <si>
    <t>Widget G</t>
  </si>
  <si>
    <t xml:space="preserve">Product: </t>
  </si>
  <si>
    <t>Return multiple columns</t>
  </si>
  <si>
    <t>In analytical datasets, you rarely look up a single field. More often you need to pull a small “record” (multiple columns) for an ID, and you want it to stay maintainable as the dataset grows.
Your sheet contains a customer table in A9:E15. The lookup key is Customer ID (column A). The fields you need to return are Name, Email, Phone (columns B–D).</t>
  </si>
  <si>
    <t>Write a single formula in C5 that:
Uses the Customer ID in B3 as the lookup value
Returns Name, Email, and Phone as a horizontal array that spills across C5:E5
Pulls the values from the customer table (do not hardcode any customer details)
Your solution should keep working if the value in B3 changes to any other valid ID in the table.</t>
  </si>
  <si>
    <t>Customer Lookup</t>
  </si>
  <si>
    <t>Look up a customer ID and return Name, Email, and Phone in one spilled row.</t>
  </si>
  <si>
    <t>Name</t>
  </si>
  <si>
    <t>Phone</t>
  </si>
  <si>
    <t>Keira Lewis</t>
  </si>
  <si>
    <t>keira.lewis@northwind.com</t>
  </si>
  <si>
    <t>(555) 010-1188</t>
  </si>
  <si>
    <t>Customer Table</t>
  </si>
  <si>
    <t>ava.patel@northwind.com</t>
  </si>
  <si>
    <t>(555) 010-0421</t>
  </si>
  <si>
    <t>Standard</t>
  </si>
  <si>
    <t>noah.kim@northwind.com</t>
  </si>
  <si>
    <t>(555) 010-0673</t>
  </si>
  <si>
    <t>Sofia Martinez</t>
  </si>
  <si>
    <t>sofia.martinez@northwind.com</t>
  </si>
  <si>
    <t>(555) 010-0905</t>
  </si>
  <si>
    <t>Premium</t>
  </si>
  <si>
    <t>liam.chen@northwind.com</t>
  </si>
  <si>
    <t>(555) 010-1430</t>
  </si>
  <si>
    <t>Maya Singh</t>
  </si>
  <si>
    <t>maya.singh@northwind.com</t>
  </si>
  <si>
    <t>(555) 010-1762</t>
  </si>
  <si>
    <t>ethan.brooks@northwind.com</t>
  </si>
  <si>
    <t>(555) 010-2014</t>
  </si>
  <si>
    <t>Basic AND function</t>
  </si>
  <si>
    <t>When a decision depends on multiple requirements, Excel can test them in one step.
The AND function returns TRUE only when every condition you give it is TRUE.
Syntax:
=AND(logical1, logical2)</t>
  </si>
  <si>
    <t>What you need to do
In this sheet, each sale has a Quantity and a Sale value ($). The minimum thresholds are listed in row 9:
Minimum quantity is in B9
Minimum sale value is in D9
Your goal is to fill the Meets both thresholds? column with TRUE or FALSE.
Click cell D2.
Start an AND formula with two logical tests:
Test 1: Is the quantity in B2 at least the minimum quantity?
Test 2: Is the sale value in C2 at least the minimum sale value?
Use absolute references for the threshold cells (so the references to row 9 do not change when you copy the formula down).
Press Enter. Cell D2 should show TRUE or FALSE.
Copy the formula down from D2 through D7.
To copy down, select D2 and drag the small square at the bottom-right corner of the cell down to D7.</t>
  </si>
  <si>
    <t>Sale ID</t>
  </si>
  <si>
    <t>Sale value ($)</t>
  </si>
  <si>
    <t>Meets both thresholds?</t>
  </si>
  <si>
    <t>S-1001</t>
  </si>
  <si>
    <t>S-1002</t>
  </si>
  <si>
    <t>S-1003</t>
  </si>
  <si>
    <t>S-1004</t>
  </si>
  <si>
    <t>S-1005</t>
  </si>
  <si>
    <t>S-1006</t>
  </si>
  <si>
    <t>Min quantity</t>
  </si>
  <si>
    <t>Min sale value ($)</t>
  </si>
  <si>
    <t>IF with OR</t>
  </si>
  <si>
    <t>Imagine you're part of a sales team that needs to quickly spot orders that should get extra attention.
A common pattern is: if any of several conditions is true, label the row as high priority. In Excel, you do that by putting an OR test inside an IF.
What you need to do:
In F2, write a formula that returns "High" when either of these is true:
The Order total ($) is greater than 10,000
The Tier is "VIP"
Otherwise, return "Standard".
Fill the formula down through F11.</t>
  </si>
  <si>
    <t>Tier</t>
  </si>
  <si>
    <t>Order total ($)</t>
  </si>
  <si>
    <t>Priority</t>
  </si>
  <si>
    <t>Maya</t>
  </si>
  <si>
    <t>VIP</t>
  </si>
  <si>
    <t>Jordan</t>
  </si>
  <si>
    <t>Aisha</t>
  </si>
  <si>
    <t>Chris</t>
  </si>
  <si>
    <t>IF with AND</t>
  </si>
  <si>
    <t>Loan decisions often depend on multiple conditions at once. In Excel, you can combine conditions with AND, then use IF to return the decision you want.</t>
  </si>
  <si>
    <t>What you need to do:</t>
  </si>
  <si>
    <t>Applicant</t>
  </si>
  <si>
    <t>Credit score</t>
  </si>
  <si>
    <t>Annual income ($)</t>
  </si>
  <si>
    <t>Loan amount ($)</t>
  </si>
  <si>
    <t>Decision</t>
  </si>
  <si>
    <t>Noah Patel</t>
  </si>
  <si>
    <t>Ava Rodriguez</t>
  </si>
  <si>
    <t>Ethan Williams</t>
  </si>
  <si>
    <t>Sofia Garcia</t>
  </si>
  <si>
    <t>Lucas Brown</t>
  </si>
  <si>
    <t>Emma Davis</t>
  </si>
  <si>
    <t>Olivia Martin</t>
  </si>
  <si>
    <t>Jack Thompson</t>
  </si>
  <si>
    <t>Flag overdue invoices with IF and NOT</t>
  </si>
  <si>
    <t>When tracking invoices, you often need to flag those that are overdue but not yet paid. Combining IF with NOT lets you test "if something is NOT the case."
The NOT function reverses a TRUE or FALSE result:
=NOT(logical_test)
If the logical test is TRUE, NOT returns FALSE. If it is FALSE, NOT returns TRUE. This makes it useful when you want to check that a condition does not apply.</t>
  </si>
  <si>
    <t>This sheet has six invoices with due dates and payment statuses. In this exercise, every invoice shown is already past its due date, so the only thing you need to check is whether the status is not "Paid".
Some overdue invoices use different status labels, so this is a good case for checking what the status is not, rather than looking for just one unpaid label.
Your goal is to fill the Flag column (column D) with:
"Overdue" when the status is not "Paid"
"" (empty string) for any other case
Follow these steps:
Click cell D4 (the first Flag cell, for INV-1001).
Start with an IF formula: =IF(logical_test, "Overdue", "")
For the logical test, use NOT to reverse the status check. NOT(C4="Paid") returns TRUE whenever the invoice status is anything other than "Paid".
Press Enter.
Copy the formula from D4 down to D9.</t>
  </si>
  <si>
    <t>Today's date</t>
  </si>
  <si>
    <t>Invoice #</t>
  </si>
  <si>
    <t>Due date</t>
  </si>
  <si>
    <t>Flag</t>
  </si>
  <si>
    <t>INV-1001</t>
  </si>
  <si>
    <t>Unpaid</t>
  </si>
  <si>
    <t>INV-1002</t>
  </si>
  <si>
    <t>Paid</t>
  </si>
  <si>
    <t>INV-1003</t>
  </si>
  <si>
    <t>Pending</t>
  </si>
  <si>
    <t>INV-1004</t>
  </si>
  <si>
    <t>Sent</t>
  </si>
  <si>
    <t>INV-1005</t>
  </si>
  <si>
    <t>Awaiting payment</t>
  </si>
  <si>
    <t>INV-1006</t>
  </si>
  <si>
    <t>Nested IF for grading</t>
  </si>
  <si>
    <t>In reporting and analysis, you’ll often need to convert a number into a category (like turning a test score into a letter grade). A nested IF lets you test multiple thresholds in order and return a different result for each case.
In this sheet, column B contains exam scores. The grading scale is listed in columns D and E.
Your task:
In cell C2, write a nested IF that returns the correct letter grade (A–F) for the score in B2.
Use the minimum scores in E2:E6 and the corresponding letters in D2:D6.
Fill the formula down through C9 to grade every student.</t>
  </si>
  <si>
    <t>Student</t>
  </si>
  <si>
    <t>Letter grade</t>
  </si>
  <si>
    <t>Grade</t>
  </si>
  <si>
    <t>Min score</t>
  </si>
  <si>
    <t>A</t>
  </si>
  <si>
    <t>B</t>
  </si>
  <si>
    <t>C</t>
  </si>
  <si>
    <t>D</t>
  </si>
  <si>
    <t>F</t>
  </si>
  <si>
    <t>Olivia Stone</t>
  </si>
  <si>
    <t>IF(B2&gt;=$E$2,$D$2,IF(B2&gt;=$E$3,$D$3,IF(B2&gt;=$E$4,$D$4,IF(B2&gt;=$E$5,$D$5,$D$6))))</t>
  </si>
  <si>
    <t>OR REFERENCE COLUMN CAN BE USED</t>
  </si>
  <si>
    <t>Nested IF for commission tiers</t>
  </si>
  <si>
    <t>Sales commissions are often calculated using a tiered rate: higher-performing reps earn a higher commission rate. A nested IF is a practical way to apply those tier rules in a single formula.
In this sheet, monthly sales are listed in column B, and the commission tier thresholds are in columns E and F.
Your task:
In cell C2, write a nested IF that calculates the commission amount for the sales in B2.
Use the tier table (E2:F4) for the thresholds and rates, and lock those references so you can fill down.
Fill the formula down through C9.</t>
  </si>
  <si>
    <t>Monthly sales</t>
  </si>
  <si>
    <t>Commission ($)</t>
  </si>
  <si>
    <t>Min sales</t>
  </si>
  <si>
    <t>Rate</t>
  </si>
  <si>
    <t>Tier 3</t>
  </si>
  <si>
    <t>Priya Nair</t>
  </si>
  <si>
    <t>Tier 2</t>
  </si>
  <si>
    <t>Mateo Silva</t>
  </si>
  <si>
    <t>Tier 1</t>
  </si>
  <si>
    <t>Amina Hassan</t>
  </si>
  <si>
    <t>Chris Park</t>
  </si>
  <si>
    <t>Sophie Nguyen</t>
  </si>
  <si>
    <t>Daniel Brooks</t>
  </si>
  <si>
    <t>Lina Kowalski</t>
  </si>
  <si>
    <t>Commission policy:</t>
  </si>
  <si>
    <t>0–9,999 = 3% | 10,000–24,999 = 5% | 25,000+ = 7%</t>
  </si>
  <si>
    <t>Assign shipping methods with IFS</t>
  </si>
  <si>
    <t>When you need to test multiple conditions and return different results, the IFS function is cleaner and easier to read than nested IF statements.
The IFS function checks conditions in order and returns the value for the first condition that is TRUE:
=IFS(condition1, value1, condition2, value2, ...)
For example: =IFS(A1&lt;10, "Small", A1&lt;50, "Medium", A1&gt;=50, "Large")
This returns "Small" if A1 is less than 10, "Medium" if less than 50, or "Large" otherwise.
Important: IFS evaluates conditions from left to right and stops at the first TRUE condition. Order matters. If you check smaller thresholds first, you will get correct results.</t>
  </si>
  <si>
    <t>A warehouse needs to assign shipping methods based on package weight. The shipping rules are shown in columns E and F:
Up to 1 lb: Letter
Up to 5 lbs: Standard
Up to 20 lbs: Ground
Up to 50 lbs: Freight
Over 50 lbs: Heavy freight</t>
  </si>
  <si>
    <t>Package ID</t>
  </si>
  <si>
    <t>Weight (lbs)</t>
  </si>
  <si>
    <t>Shipping method</t>
  </si>
  <si>
    <t>Weight limit</t>
  </si>
  <si>
    <t>Method</t>
  </si>
  <si>
    <t>PKG-001</t>
  </si>
  <si>
    <t>Letter</t>
  </si>
  <si>
    <t>PKG-002</t>
  </si>
  <si>
    <t>PKG-003</t>
  </si>
  <si>
    <t>Ground</t>
  </si>
  <si>
    <t>PKG-004</t>
  </si>
  <si>
    <t>Freight</t>
  </si>
  <si>
    <t>PKG-005</t>
  </si>
  <si>
    <t>Heavy freight</t>
  </si>
  <si>
    <t>PKG-006</t>
  </si>
  <si>
    <t>PKG-007</t>
  </si>
  <si>
    <t>PKG-008</t>
  </si>
  <si>
    <t>SWITCH for department budget codes</t>
  </si>
  <si>
    <t>When a quarterly budget report uses short department codes, SWITCH is a clean way to translate each code into a readable label. It is often easier to audit than a long chain of nested IF statements because each exact match is paired directly with the result you want to return.
The SWITCH function works like this:
=SWITCH(value, match1, result1, match2, result2, ..., default)
It checks one value, looks for an exact match in your list, and returns the corresponding result. This is useful when one code should always map to one label.</t>
  </si>
  <si>
    <t>In this budget review, column E already shows each employee's quarterly budget amount. Your job is to label each budget line correctly by translating the department codes in column B for each employee row. Use the lookup table in A12:C16 as your mapping guide.
In C2, use SWITCH to return the full department name for the code in B2, using the mappings shown in A12:B16.
In D2, use SWITCH again to return the budget category for the same code, using the mappings shown in A12:C16.
Fill both formulas down through row 9.
Use one SWITCH formula for the department name column and a separate SWITCH formula for the budget category column. The same department code should drive both outputs, but each column needs its own result list.</t>
  </si>
  <si>
    <t>Department name</t>
  </si>
  <si>
    <t>Budget category</t>
  </si>
  <si>
    <t>Quarterly budget</t>
  </si>
  <si>
    <t>Maya Chen</t>
  </si>
  <si>
    <t>MKT</t>
  </si>
  <si>
    <t>$18,000</t>
  </si>
  <si>
    <t>ENG</t>
  </si>
  <si>
    <t>$85,000</t>
  </si>
  <si>
    <t>Priya Patel</t>
  </si>
  <si>
    <t>FIN</t>
  </si>
  <si>
    <t>$42,000</t>
  </si>
  <si>
    <t>OPS</t>
  </si>
  <si>
    <t>$36,000</t>
  </si>
  <si>
    <t>Elena Garcia</t>
  </si>
  <si>
    <t>$24,000</t>
  </si>
  <si>
    <t>Noah Davis</t>
  </si>
  <si>
    <t>$79,000</t>
  </si>
  <si>
    <t>Ava Wilson</t>
  </si>
  <si>
    <t>$15,000</t>
  </si>
  <si>
    <t>Ethan Clark</t>
  </si>
  <si>
    <t>$12,000</t>
  </si>
  <si>
    <t>Code</t>
  </si>
  <si>
    <t>Growth</t>
  </si>
  <si>
    <t>Engineering</t>
  </si>
  <si>
    <t>Human Resources</t>
  </si>
  <si>
    <t>Basic IFERROR exercise</t>
  </si>
  <si>
    <t>In this exercise, we're looking at the IFERROR function. This function can be handy when you expect errors to exist, but you want to handle them gracefully.</t>
  </si>
  <si>
    <t>Guests</t>
  </si>
  <si>
    <t>Drinks</t>
  </si>
  <si>
    <t>Drinks per guest</t>
  </si>
  <si>
    <t>Creating an IFNOTERROR function</t>
  </si>
  <si>
    <t>Excel has an IFERROR function, but it does not have an IFNOTERROR function. In this exercise, you’ll build that logic yourself by combining IF with ISERROR.
IFERROR lets you return a different value when a formula has an error. Here, we want the reverse idea: return one label when a value is an error, and another label when it is not.
You can do that by combining IF with ISERROR.
=IF(Logical_test, Value_if_true, Value_if_false)
=ISERROR(value)
Quick reminder if this is your first time here: you can see the finished solution in the Answer tab at the top of the page.</t>
  </si>
  <si>
    <t>The sheet has two formulas in column B. One returns an error, and one returns a normal result.
Your goal is to fill the Custom formula column (column C) with:
"Error" when the formula in column B returns an error
"Not error" when the formula in column B does not return an error
Follow these steps:
Click cell C2.
Start an IF formula that checks whether B2 is an error.
Use ISERROR as the logical test.
Return "Error" when ISERROR returns TRUE.
Return "Not error" when ISERROR returns FALSE.
Press Enter.
Rewrite or copy the formula from C2 down to C3.</t>
  </si>
  <si>
    <t>Custom formula</t>
  </si>
  <si>
    <t>Error:</t>
  </si>
  <si>
    <t>Not error:</t>
  </si>
  <si>
    <t>The Excel ISNOTERROR function: making your own formula</t>
  </si>
  <si>
    <t>You may be wondering: does Excel have an ISNOTERROR function? The short answer is no. However, don't lose hope! We can make our own, and it's very easy.
So there is no ISNOTERROR Excel formula, but there is an ISERROR function. This function returns whether something is an error or not. If it's an error, the Iserror function will return TRUE. If it is not an error, the function will return FALSE.
Knowing this may be enough for you to create a function that basically does the opposite. An Isnoterror function.
If you're not sure how to do it yet, you can always look at the answer to the exercise by clicking on Show answer in the top right corner of the spreadsheet editor below.
The exercise is complete if you can get formulas in cells D2 and D3 that return whether the matching value in column B is not an error</t>
  </si>
  <si>
    <t>Is error?</t>
  </si>
  <si>
    <t>Is NOT error?</t>
  </si>
  <si>
    <t>Error</t>
  </si>
  <si>
    <t>Not error</t>
  </si>
  <si>
    <t>A/B test results analysis</t>
  </si>
  <si>
    <t>You're a data analyst evaluating the results of an A/B test on a new checkout flow. Traffic was split evenly between the original design (Control A) and a redesigned version (Treatment B) over a two-week experiment.</t>
  </si>
  <si>
    <t>Your goal: determine whether the redesign improved conversion performance, and whether the observed difference is statistically significant at the 95% confidence level using a two-sided z-test.</t>
  </si>
  <si>
    <t>Control (A)</t>
  </si>
  <si>
    <t>Treatment (B)</t>
  </si>
  <si>
    <t>Notes</t>
  </si>
  <si>
    <t>Visitors</t>
  </si>
  <si>
    <t>Conversions</t>
  </si>
  <si>
    <t>Conversion rate</t>
  </si>
  <si>
    <t>Standard error</t>
  </si>
  <si>
    <t>√(p × (1−p) / n)</t>
  </si>
  <si>
    <t>Results</t>
  </si>
  <si>
    <t>Percentage lift</t>
  </si>
  <si>
    <t>Relative to control rate</t>
  </si>
  <si>
    <t>Pooled standard error</t>
  </si>
  <si>
    <t>√(p_pool × (1−p_pool) × (1/n_A + 1/n_B))</t>
  </si>
  <si>
    <t>Z-score</t>
  </si>
  <si>
    <t>(p_B - p_A) / pooled SE</t>
  </si>
  <si>
    <t>Significant at 95%?</t>
  </si>
  <si>
    <t>Significant if ABS(Z) &gt; 1.96 (two-sided, 95%)</t>
  </si>
  <si>
    <t>Fill in the eight calculated fields in the spreadsheet. The Notes column shows mathematical notation for the statistical formulas. For the Z-score, use the pooled standard error from the Results section, where pooled SE is based on pooled conversion rate across both variants. Then return a final Significant? decision based on the 95% two-sided threshold.</t>
  </si>
  <si>
    <t>AGGREGATE for average ignoring errors</t>
  </si>
  <si>
    <t>When your data has errors scattered through a column, functions like AVERAGE fail on the whole range. AGGREGATE can skip those errors and give you the correct result.</t>
  </si>
  <si>
    <t>How AGGREGATE works</t>
  </si>
  <si>
    <t>AGGREGATE takes three arguments:</t>
  </si>
  <si>
    <t>For example, to sum while ignoring errors:</t>
  </si>
  <si>
    <t>Syntax = AGGREGATE(function_num, options, range)</t>
  </si>
  <si>
    <t>Example =AGGREGATE(9, 6, A1:A10)</t>
  </si>
  <si>
    <t>In this exercise, you have monthly sales data with a Revenue per unit column that uses formulas referencing the units sold column. Two months show #DIV/0! because no units were sold, and one month shows #VALUE! because the data entry is still incomplete. A normal AVERAGE cannot handle these errors.</t>
  </si>
  <si>
    <t>function_num: a number that tells AGGREGATE which calculation to run (1 for AVERAGE, 2 for COUNT, 9 for SUM, and more)</t>
  </si>
  <si>
    <t>options: a number that tells AGGREGATE what to ignore (6 means ignore error values)</t>
  </si>
  <si>
    <t>range: the cells to evaluate</t>
  </si>
  <si>
    <t>Units sold</t>
  </si>
  <si>
    <t>Revenue per unit</t>
  </si>
  <si>
    <t>pending</t>
  </si>
  <si>
    <t>September</t>
  </si>
  <si>
    <t>October</t>
  </si>
  <si>
    <t>November</t>
  </si>
  <si>
    <t>AVERAGE revenue</t>
  </si>
  <si>
    <t>AGGREGATE revenue</t>
  </si>
  <si>
    <t>Count of valid revenue entries</t>
  </si>
  <si>
    <t>Handle #N/A in calculations</t>
  </si>
  <si>
    <t>When you pull data from lookups or external sources, some cells may contain #N/A errors. A regular SUM on these cells will return #N/A, which breaks your reports.</t>
  </si>
  <si>
    <t>There are several ways to sum values while ignoring errors:</t>
  </si>
  <si>
    <t>The AGGREGATE function can perform various calculations (SUM, AVERAGE, COUNT, etc.) while optionally ignoring errors, hidden rows, or nested functions.</t>
  </si>
  <si>
    <t>The syntax is:
=AGGREGATE(function_num, options, range)
Where function_num specifies the calculation (9 = SUM) and options controls what to ignore (6 = ignore error values).
Your task:
You have quarterly sales data for several products. Some quarters have #N/A errors where data was unavailable.
In cell C8, calculate the total Q2 Sales (column C) using a method that ignores the #N/A errors and returns the correct sum.</t>
  </si>
  <si>
    <t>Q1 sales</t>
  </si>
  <si>
    <t>Q2 sales</t>
  </si>
  <si>
    <t>Q3 sales</t>
  </si>
  <si>
    <t>Q4 sales</t>
  </si>
  <si>
    <t>Total Q2 sales:</t>
  </si>
  <si>
    <t>1. AGGREGATE function - Has a built-in option to ignore error values</t>
  </si>
  <si>
    <t>2. SUMIF with error checking - Filter out errors before summing</t>
  </si>
  <si>
    <t>3. IFERROR wrapper - Replace each error with 0 before summing</t>
  </si>
  <si>
    <t>Aging buckets</t>
  </si>
  <si>
    <t>Accounts receivable aging is a key tool in finance and accounting. By categorizing outstanding invoices into "buckets" based on how many days old they are, you can quickly identify problem accounts and prioritize collection efforts.</t>
  </si>
  <si>
    <t>In this exercise, you'll work with a list of outstanding invoices. Column C contains the invoice date, and column E contains today's date. You need to:</t>
  </si>
  <si>
    <t>1. Calculate the age of each invoice (in days) in column F</t>
  </si>
  <si>
    <t>2. Categorize each invoice into an aging bucket in column G</t>
  </si>
  <si>
    <t>The standard aging buckets are:</t>
  </si>
  <si>
    <t>Invoice</t>
  </si>
  <si>
    <t>Customer</t>
  </si>
  <si>
    <t>Invoice date</t>
  </si>
  <si>
    <t>Amount</t>
  </si>
  <si>
    <t>Today</t>
  </si>
  <si>
    <t>Days old</t>
  </si>
  <si>
    <t>Aging bucket</t>
  </si>
  <si>
    <t>INV-001</t>
  </si>
  <si>
    <t>Acme Corp</t>
  </si>
  <si>
    <t>INV-002</t>
  </si>
  <si>
    <t>TechStart Inc</t>
  </si>
  <si>
    <t>INV-003</t>
  </si>
  <si>
    <t>Global Ltd</t>
  </si>
  <si>
    <t>INV-004</t>
  </si>
  <si>
    <t>Prime Services</t>
  </si>
  <si>
    <t>INV-005</t>
  </si>
  <si>
    <t>Metro Supply</t>
  </si>
  <si>
    <t>INV-006</t>
  </si>
  <si>
    <t>Valley Corp</t>
  </si>
  <si>
    <t>Date math in Excel
To find the number of days between two dates, simply subtract the earlier date from the later date. Excel stores dates as numbers, so =Today - InvoiceDate gives you the number of days.
Nested IF for bucketing
To assign a bucket, you'll use nested IF statements. Start by checking the smallest threshold and work your way up, or start with the largest and work down. For example:
=IF(condition_1, result_1, IF(condition_2, result_2, IF(...)))
Your task
In column F, calculate how many days old each invoice is
In column G, use a nested IF to assign the correct aging bucket
Fill your formulas down for all 6 invoices</t>
  </si>
  <si>
    <t>Current: 0-30 days</t>
  </si>
  <si>
    <t>Slightly overdue: 31-60 days</t>
  </si>
  <si>
    <t>Moderately overdue: 61-90 days</t>
  </si>
  <si>
    <t>Seriously overdue: 91+ days</t>
  </si>
  <si>
    <t>Build an accounts receivable aging schedule</t>
  </si>
  <si>
    <t>Accounts receivable aging helps accounting teams see which invoices are current and which ones are slipping overdue. It is a standard reporting view because it highlights collection priorities and gives a quick read on credit risk.
In this exercise, you will build a simple aging schedule from a list of 15 open invoices. The report date is fixed in B1 so everyone gets the same result.
Your main task is to classify each invoice in E4:E18 into the correct aging bucket. The summary table at the bottom is already set up and will update from your bucket labels.
The values in A21:A25 are the exact bucket names to use: Current, 1-30 days, 31-60 days, 61-90 days, and 90+ days.
Your task:
Fill the Aging bucket column in E4:E18.
Use the bucket names shown in the sheet to decide which label belongs to each invoice.
Keep the report date fixed when your bucket formula refers back to B1.</t>
  </si>
  <si>
    <t>Report date</t>
  </si>
  <si>
    <t>Alpha Retail</t>
  </si>
  <si>
    <t>Current</t>
  </si>
  <si>
    <t>Northwind Cafe</t>
  </si>
  <si>
    <t>Harbor Medical</t>
  </si>
  <si>
    <t>Cedar Foods</t>
  </si>
  <si>
    <t>Blue Peak Design</t>
  </si>
  <si>
    <t>Lumen Services</t>
  </si>
  <si>
    <t>INV-1007</t>
  </si>
  <si>
    <t>Atlas Hardware</t>
  </si>
  <si>
    <t>INV-1008</t>
  </si>
  <si>
    <t>Maple Logistics</t>
  </si>
  <si>
    <t>INV-1009</t>
  </si>
  <si>
    <t>Summit Dental</t>
  </si>
  <si>
    <t>INV-1010</t>
  </si>
  <si>
    <t>Oak Street Market</t>
  </si>
  <si>
    <t>INV-1011</t>
  </si>
  <si>
    <t>Granite Builders</t>
  </si>
  <si>
    <t>INV-1012</t>
  </si>
  <si>
    <t>BrightPath Staffing</t>
  </si>
  <si>
    <t>INV-1013</t>
  </si>
  <si>
    <t>Riverside Labs</t>
  </si>
  <si>
    <t>INV-1014</t>
  </si>
  <si>
    <t>TrueLine Manufacturing</t>
  </si>
  <si>
    <t>INV-1015</t>
  </si>
  <si>
    <t>West Bay Properties</t>
  </si>
  <si>
    <t>Bucket name</t>
  </si>
  <si>
    <t>1-30 days</t>
  </si>
  <si>
    <t>31-60 days</t>
  </si>
  <si>
    <t>61-90 days</t>
  </si>
  <si>
    <t>90+ days</t>
  </si>
  <si>
    <t>Average score by course with AVERAGEIF</t>
  </si>
  <si>
    <t>When you have results spread across multiple categories, AVERAGEIF lets you calculate an average for each category without sorting or filtering your data. It works just like SUMIF and COUNTIF, but instead of summing or counting, it averages.</t>
  </si>
  <si>
    <t>In this exercise, you have a table of student exam results in rows 2–10. Each row shows a student's name, their course, and their score. Below the table is a summary section where you'll calculate the average score for each course.</t>
  </si>
  <si>
    <t>How AVERAGEIF works:</t>
  </si>
  <si>
    <t>Syntax=AVERAGEIF(range, criteria, average_range)</t>
  </si>
  <si>
    <t>When you're done, each row in the summary table should show the correct average score for that course.</t>
  </si>
  <si>
    <t>Course</t>
  </si>
  <si>
    <t>Math</t>
  </si>
  <si>
    <t>English</t>
  </si>
  <si>
    <t>Carla</t>
  </si>
  <si>
    <t>Science</t>
  </si>
  <si>
    <t>Eva</t>
  </si>
  <si>
    <t>Felix</t>
  </si>
  <si>
    <t>Grace</t>
  </si>
  <si>
    <t>Hannah</t>
  </si>
  <si>
    <t>Ivan</t>
  </si>
  <si>
    <t>Average Score</t>
  </si>
  <si>
    <r>
      <t>AND returns TRUE only when </t>
    </r>
    <r>
      <rPr>
        <i/>
        <sz val="12"/>
        <color rgb="FF000000"/>
        <rFont val="Calibri Light"/>
        <family val="2"/>
        <scheme val="major"/>
      </rPr>
      <t>all</t>
    </r>
    <r>
      <rPr>
        <sz val="12"/>
        <color rgb="FF000000"/>
        <rFont val="Calibri Light"/>
        <family val="2"/>
        <scheme val="major"/>
      </rPr>
      <t> tests are TRUE. You’ll typically use it inside IF to create a single decision rule.</t>
    </r>
  </si>
  <si>
    <r>
      <t>1. In column </t>
    </r>
    <r>
      <rPr>
        <sz val="12"/>
        <color rgb="FF000000"/>
        <rFont val="Calibri Light"/>
        <family val="2"/>
        <scheme val="major"/>
      </rPr>
      <t>E (Decision), return "Approve" only when both of these are true:</t>
    </r>
  </si>
  <si>
    <r>
      <t>Credit score is </t>
    </r>
    <r>
      <rPr>
        <sz val="12"/>
        <color rgb="FF000000"/>
        <rFont val="Calibri Light"/>
        <family val="2"/>
        <scheme val="major"/>
      </rPr>
      <t>greater than 700</t>
    </r>
  </si>
  <si>
    <r>
      <t>Annual income is </t>
    </r>
    <r>
      <rPr>
        <sz val="12"/>
        <color rgb="FF000000"/>
        <rFont val="Calibri Light"/>
        <family val="2"/>
        <scheme val="major"/>
      </rPr>
      <t>greater than 50,000</t>
    </r>
  </si>
  <si>
    <r>
      <t>2. Otherwise, return </t>
    </r>
    <r>
      <rPr>
        <sz val="12"/>
        <color rgb="FF000000"/>
        <rFont val="Calibri Light"/>
        <family val="2"/>
        <scheme val="major"/>
      </rPr>
      <t>"Decline".</t>
    </r>
  </si>
  <si>
    <r>
      <t>3. Write the formula in </t>
    </r>
    <r>
      <rPr>
        <sz val="12"/>
        <color rgb="FF000000"/>
        <rFont val="Calibri Light"/>
        <family val="2"/>
        <scheme val="major"/>
      </rPr>
      <t>E2, then fill it down through E11.</t>
    </r>
  </si>
  <si>
    <r>
      <t>In the exercise, we are expecting an error, namely a </t>
    </r>
    <r>
      <rPr>
        <i/>
        <sz val="12"/>
        <color theme="1"/>
        <rFont val="Calibri Light"/>
        <family val="2"/>
        <scheme val="major"/>
      </rPr>
      <t>#DIV/0!</t>
    </r>
    <r>
      <rPr>
        <sz val="12"/>
        <color theme="1"/>
        <rFont val="Calibri Light"/>
        <family val="2"/>
        <scheme val="major"/>
      </rPr>
      <t> error that you get when you divide a number by 0. Since that's not allowed in mathematics, the error is reasonable, yet we still would like to return something other than an error. That's where IFERROR comes in.</t>
    </r>
  </si>
  <si>
    <r>
      <t>Return the number of </t>
    </r>
    <r>
      <rPr>
        <i/>
        <sz val="12"/>
        <color theme="1"/>
        <rFont val="Calibri Light"/>
        <family val="2"/>
        <scheme val="major"/>
      </rPr>
      <t>Drinks per guest</t>
    </r>
    <r>
      <rPr>
        <sz val="12"/>
        <color theme="1"/>
        <rFont val="Calibri Light"/>
        <family val="2"/>
        <scheme val="major"/>
      </rPr>
      <t> in cells C2:C4. For each row, divide the number of drinks by the number of guests, and wrap that division in IFERROR so the formula returns the division result when there is no error and 0 otherwise.</t>
    </r>
  </si>
  <si>
    <r>
      <t>Rows 2 and 3 should return the normal division result. Row 4 has 0 guests, so your IFERROR formula should return 0 instead of a </t>
    </r>
    <r>
      <rPr>
        <i/>
        <sz val="12"/>
        <color theme="1"/>
        <rFont val="Calibri Light"/>
        <family val="2"/>
        <scheme val="major"/>
      </rPr>
      <t>#DIV/0!</t>
    </r>
    <r>
      <rPr>
        <sz val="12"/>
        <color theme="1"/>
        <rFont val="Calibri Light"/>
        <family val="2"/>
        <scheme val="major"/>
      </rPr>
      <t> error.</t>
    </r>
  </si>
  <si>
    <t>range: the column to check for a match (the Course column)</t>
  </si>
  <si>
    <t>criteria: the value to match (the course name)</t>
  </si>
  <si>
    <t>average_range: the column to average when a match is found (the Score column)</t>
  </si>
  <si>
    <t>1. Click cell B13 (next to "Math").</t>
  </si>
  <si>
    <t>2. Type an AVERAGEIF formula that looks through the Course column (B2:B10) for entries matching the label in A13, and averages the corresponding scores from C2:C10.</t>
  </si>
  <si>
    <t>3. Press Enter.</t>
  </si>
  <si>
    <t>4. Copy the formula from B13 down to B14 and B15.</t>
  </si>
  <si>
    <t>SUMIF with a numeric threshold</t>
  </si>
  <si>
    <t>Beginner</t>
  </si>
  <si>
    <t>When you need to total only the values that meet a condition, SUMIF lets you do it in a single formula. Most people know SUMIF for matching text like a category name, but it works just as well with numeric comparisons like "greater than" or "at least."</t>
  </si>
  <si>
    <t>How SUMIF works:</t>
  </si>
  <si>
    <t>Using a comparison operator in criteria:</t>
  </si>
  <si>
    <t>"&gt;"&amp;B1</t>
  </si>
  <si>
    <t>This tells SUMIF to include any amount greater than whatever is in B1.</t>
  </si>
  <si>
    <t>Syntax =SUMIF(range, criteria, [sum_range])</t>
  </si>
  <si>
    <t>In this exercise, you have a list of eight purchase orders in rows 4–11. Cell B1 holds the minimum order threshold (500). Your job is to write a single SUMIF formula in cell B13 that adds up only the order amounts above that threshold.</t>
  </si>
  <si>
    <t>range: the column to check against your condition</t>
  </si>
  <si>
    <t>criteria: the condition to apply (a number, text, or comparison)</t>
  </si>
  <si>
    <t>sum_range: the column to add up when the condition is met (optional when it is the same column as range)</t>
  </si>
  <si>
    <t>To check whether a value exceeds a threshold, you combine a comparison operator (in quotes) with the threshold cell using &amp;:</t>
  </si>
  <si>
    <t>1. Click cell B13 (next to "Total of qualifying orders").</t>
  </si>
  <si>
    <t>2. Write a SUMIF formula that checks the Amount column (C4:C11) against the threshold in B1, and sums only the amounts that exceed it.</t>
  </si>
  <si>
    <t>Minimum order threshold</t>
  </si>
  <si>
    <t>PO-1001</t>
  </si>
  <si>
    <t>PO-1002</t>
  </si>
  <si>
    <t>Blue Ridge Inc</t>
  </si>
  <si>
    <t>PO-1003</t>
  </si>
  <si>
    <t>Crestwood Ltd</t>
  </si>
  <si>
    <t>PO-1004</t>
  </si>
  <si>
    <t>Delta Systems</t>
  </si>
  <si>
    <t>PO-1005</t>
  </si>
  <si>
    <t>Echo Partners</t>
  </si>
  <si>
    <t>PO-1006</t>
  </si>
  <si>
    <t>Fairview Co</t>
  </si>
  <si>
    <t>PO-1007</t>
  </si>
  <si>
    <t>Greenfield LLC</t>
  </si>
  <si>
    <t>PO-1008</t>
  </si>
  <si>
    <t>Harbor Group</t>
  </si>
  <si>
    <t>Total of qualifying orders</t>
  </si>
  <si>
    <t>Sum revenue by region with SUMIF</t>
  </si>
  <si>
    <t>When you have a long list of transactions, you often need to roll them up by category. SUMIF lets you add up numbers that match one condition, without sorting or filtering your data.</t>
  </si>
  <si>
    <t>In this exercise, you have a transaction log in rows 2–9 with three columns: Region, Product, and Revenue. Your job is to fill in column B of the summary section below (rows 11–14) with the total revenue for each region.</t>
  </si>
  <si>
    <t>When you're done, each row in the summary table should show the correct total revenue for that region.</t>
  </si>
  <si>
    <t>range: the column you want to check for a match</t>
  </si>
  <si>
    <t>criteria: the value you want to match (can be a cell reference or a text value)</t>
  </si>
  <si>
    <t>sum_range: the column you want to add up when a match is found</t>
  </si>
  <si>
    <t>1. Click cell B11 (next to "North").</t>
  </si>
  <si>
    <t>2. Type a SUMIF formula that looks through the Region column (A2:A9) for entries matching the label in A11, and adds up the corresponding Revenue values (C2:C9).</t>
  </si>
  <si>
    <t>4. Copy the formula from B11 down to B12, B13, and B14.</t>
  </si>
  <si>
    <t>Syntax=SUMIF(range, criteria, sum_range)</t>
  </si>
  <si>
    <t>Region</t>
  </si>
  <si>
    <t>Revenue ($)</t>
  </si>
  <si>
    <t>North</t>
  </si>
  <si>
    <t>Software</t>
  </si>
  <si>
    <t>South</t>
  </si>
  <si>
    <t>Hardware</t>
  </si>
  <si>
    <t>East</t>
  </si>
  <si>
    <t>Services</t>
  </si>
  <si>
    <t>West</t>
  </si>
  <si>
    <t>Total Revenue ($)</t>
  </si>
  <si>
    <t>AVERAGEIFS multiple criteria</t>
  </si>
  <si>
    <t>In operations reporting, averages are often more useful when they’re filtered (for example: just high priority work, or just a specific quarter). AVERAGEIFS lets you calculate an average that matches multiple conditions at the same time.
AVERAGEIFS calculates the average of a range, but only for rows that meet all criteria you specify.
The syntax looks like:
=AVERAGEIFS(average_range, criteria_range1, criteria1, criteria_range2, criteria2)</t>
  </si>
  <si>
    <t>Your task:</t>
  </si>
  <si>
    <t>2. Use the report inputs on the right:</t>
  </si>
  <si>
    <t>1. Review the tickets table in A1:E13. Response time is in the First response (min) column.</t>
  </si>
  <si>
    <t>Quarter is in G2</t>
  </si>
  <si>
    <t>Priority is in G3</t>
  </si>
  <si>
    <t>3. In cell G4, calculate the average first response time for tickets where:</t>
  </si>
  <si>
    <t>Quarter matches G2</t>
  </si>
  <si>
    <t>Priority matches G3</t>
  </si>
  <si>
    <t>Use AVERAGEIFS so the result updates if the report inputs change.</t>
  </si>
  <si>
    <t>Ticket ID</t>
  </si>
  <si>
    <t>Created date</t>
  </si>
  <si>
    <t>First response (min)</t>
  </si>
  <si>
    <t>Report</t>
  </si>
  <si>
    <t>High</t>
  </si>
  <si>
    <t>Medium</t>
  </si>
  <si>
    <t>Avg response (min)</t>
  </si>
  <si>
    <t>Low</t>
  </si>
  <si>
    <t>AVERAGEIFS with date range and category</t>
  </si>
  <si>
    <t>Sales reports often need an average for just one slice of the pipeline, such as one product category inside one quarter. AVERAGEIFS is built for that kind of filtered analysis.
AVERAGEIFS returns the average of a range, but only for rows that meet every condition you include.
The syntax looks like:
=AVERAGEIFS(average_range, criteria_range1, criteria1, criteria_range2, criteria2, ...)
When you filter by dates, you can compare a date column to parameter cells by joining an operator to the cell reference, such as "&gt;="&amp;X1 or "&lt;="&amp;Y1.</t>
  </si>
  <si>
    <t>Your formulas should average only deals that match the category in column A and have a close date within the quarter start and quarter end dates.</t>
  </si>
  <si>
    <t>Deal name</t>
  </si>
  <si>
    <t>Close date</t>
  </si>
  <si>
    <t>Product category</t>
  </si>
  <si>
    <t>Deal amount</t>
  </si>
  <si>
    <t>Atlas renewal</t>
  </si>
  <si>
    <t>Northwind scanner rollout</t>
  </si>
  <si>
    <t>Pinecrest onboarding package</t>
  </si>
  <si>
    <t>Summit CRM expansion</t>
  </si>
  <si>
    <t>BlueRock warehouse scanners</t>
  </si>
  <si>
    <t>Harbor support retainer</t>
  </si>
  <si>
    <t>Vertex analytics upgrade</t>
  </si>
  <si>
    <t>Lakeside POS terminals</t>
  </si>
  <si>
    <t>Orion implementation sprint</t>
  </si>
  <si>
    <t>Canyon ERP migration</t>
  </si>
  <si>
    <t>Metro network refresh</t>
  </si>
  <si>
    <t>Redwood training bundle</t>
  </si>
  <si>
    <t>Quarter start</t>
  </si>
  <si>
    <t>Quarter end</t>
  </si>
  <si>
    <t>1. Review the CRM export in A1:D13. The values to average are in the Deal amount column.</t>
  </si>
  <si>
    <t>2. Use the quarter boundary cells in B15:B16 as your date criteria.</t>
  </si>
  <si>
    <t>3. In cells B18:B20, calculate the average deal amount for each product category listed in A18:A20.</t>
  </si>
  <si>
    <t>Bank statement reconciliation</t>
  </si>
  <si>
    <t>Bank reconciliation is a critical month-end accounting task. You compare the bank statement against internal records to identify discrepancies and ensure accurate financial reporting.</t>
  </si>
  <si>
    <t>You have two data sets:</t>
  </si>
  <si>
    <t>Some transactions appear in one system but not the other. Your job is to identify these discrepancies and calculate the reconciliation totals.</t>
  </si>
  <si>
    <t>Your tasks:</t>
  </si>
  <si>
    <t>Use absolute references where appropriate so formulas can be copied down.</t>
  </si>
  <si>
    <t>Bank Statement (columns A-D): Transactions recorded by the bank</t>
  </si>
  <si>
    <t>Internal Records (columns F-I): Transactions recorded in your accounting system</t>
  </si>
  <si>
    <t>1. Status column (K3:K10): For each bank transaction, determine if the reference exists in the internal records. Write a formula that returns "Match" if the bank reference is found in the internal records, or "Missing" if not found.</t>
  </si>
  <si>
    <t>2. Bank balance (C13): Calculate the total of all bank statement amounts.</t>
  </si>
  <si>
    <t>3. Book balance (C14): Calculate the total of all internal record amounts.</t>
  </si>
  <si>
    <t>4. Difference (C15): Calculate the difference between bank and book balances (bank minus book).</t>
  </si>
  <si>
    <t>5. Missing items total (C16): Calculate the sum of bank amounts where the status is "Missing" - these are items recorded by the bank but not yet in your books.</t>
  </si>
  <si>
    <t>Bank Statement</t>
  </si>
  <si>
    <t>Internal Records</t>
  </si>
  <si>
    <t>Reconciliation</t>
  </si>
  <si>
    <t>Date</t>
  </si>
  <si>
    <t>Reference</t>
  </si>
  <si>
    <t>Description</t>
  </si>
  <si>
    <t>CHK-1001</t>
  </si>
  <si>
    <t>Office Supplies</t>
  </si>
  <si>
    <t>DEP-2001</t>
  </si>
  <si>
    <t>Client Payment</t>
  </si>
  <si>
    <t>CHK-1002</t>
  </si>
  <si>
    <t>ACH-3001</t>
  </si>
  <si>
    <t>DEP-2002</t>
  </si>
  <si>
    <t>Sales Revenue</t>
  </si>
  <si>
    <t>DEP-2003</t>
  </si>
  <si>
    <t>Consulting Fee</t>
  </si>
  <si>
    <t>CHK-1003</t>
  </si>
  <si>
    <t>Insurance</t>
  </si>
  <si>
    <t>WIR-4001</t>
  </si>
  <si>
    <t>Bank Fee</t>
  </si>
  <si>
    <t>CHK-1004</t>
  </si>
  <si>
    <t>Bank balance:</t>
  </si>
  <si>
    <t>Book balance:</t>
  </si>
  <si>
    <t>Difference:</t>
  </si>
  <si>
    <t>Items in bank not in books:</t>
  </si>
  <si>
    <t>Basic SUM</t>
  </si>
  <si>
    <t>When you build a simple report in Excel, one of the most common tasks is adding up a list of numbers to get a total. The SUM function is built for exactly that.</t>
  </si>
  <si>
    <t>What you need to do</t>
  </si>
  <si>
    <t>Total revenue</t>
  </si>
  <si>
    <t>In this sheet, you have monthly revenue figures in column B.</t>
  </si>
  <si>
    <t>1. Click cell B9.</t>
  </si>
  <si>
    <t>2. Type a SUM formula that adds the revenue values in cells B2 through B7.</t>
  </si>
  <si>
    <t>When you’re done, cell B9 should show the total revenue for January through June.</t>
  </si>
  <si>
    <t>Calculate Average Sales</t>
  </si>
  <si>
    <t>In sales analysis, knowing your average order value helps you understand customer spending patterns and set realistic targets.</t>
  </si>
  <si>
    <t>The AVERAGE function calculates the arithmetic mean of a set of numbers. It adds up all the values and divides by how many there are.</t>
  </si>
  <si>
    <t>This will calculate the average of all values in the range B1 through B5.</t>
  </si>
  <si>
    <t>You have a list of recent sales transactions with their order values in cells B2 through B7.</t>
  </si>
  <si>
    <t>Use the AVERAGE function in cell B9 to calculate the average order value across all six transactions.</t>
  </si>
  <si>
    <t>Order Value</t>
  </si>
  <si>
    <t>ORD-101</t>
  </si>
  <si>
    <t>ORD-102</t>
  </si>
  <si>
    <t>ORD-103</t>
  </si>
  <si>
    <t>ORD-104</t>
  </si>
  <si>
    <t>ORD-105</t>
  </si>
  <si>
    <t>ORD-106</t>
  </si>
  <si>
    <t>Average order value:</t>
  </si>
  <si>
    <t>Break-even units</t>
  </si>
  <si>
    <t>Break-even analysis is a cornerstone of financial planning. It tells you exactly how many units you need to sell before your business starts making a profit.</t>
  </si>
  <si>
    <t>At the break-even point, total revenue equals total costs. You're not making money, but you're not losing it either. Every unit sold beyond this point generates profit.</t>
  </si>
  <si>
    <t>Key concepts:</t>
  </si>
  <si>
    <t>The contribution margin represents how much each unit sold contributes toward covering fixed costs. Once you've covered all fixed costs, each additional unit's contribution margin becomes profit.</t>
  </si>
  <si>
    <t>You're analyzing the break-even point for Widget Pro. The spreadsheet shows:</t>
  </si>
  <si>
    <t>Selling price per unit (B5)</t>
  </si>
  <si>
    <t>Variable cost per unit (B6)</t>
  </si>
  <si>
    <t>Monthly fixed costs (B8)</t>
  </si>
  <si>
    <t>Complete the analysis by:</t>
  </si>
  <si>
    <t>Contribution Margin per Unit = Selling Price - Variable Cost per Unit</t>
  </si>
  <si>
    <t>Break-even Units = Fixed Costs ÷ Contribution Margin per Unit</t>
  </si>
  <si>
    <t>1. Calculate the contribution margin per unit in cell B10</t>
  </si>
  <si>
    <t>2. Calculate the break-even units in cell B11</t>
  </si>
  <si>
    <t>Product:</t>
  </si>
  <si>
    <t>Widget Pro</t>
  </si>
  <si>
    <t>Selling price per unit</t>
  </si>
  <si>
    <t>Variable cost per unit</t>
  </si>
  <si>
    <t>Fixed costs (monthly)</t>
  </si>
  <si>
    <t>Contribution margin per unit</t>
  </si>
  <si>
    <t>Build a basic cohort retention table</t>
  </si>
  <si>
    <t>Cohort analysis is common in SaaS and other recurring-behavior analysis because it shows whether people who started in the same period kept returning, subscribing, purchasing, or staying active over time. Instead of relying on one blended retention rate, you can compare signup groups month by month and spot whether newer cohorts are holding up better or worse.</t>
  </si>
  <si>
    <t>In this exercise, the source table lists subscription customers, the numbered month they signed up, and the last numbered month they were still active. Real reports often use calendar months or quarters, but numbered months keep the focus here on the cohort retention logic. Complete the cohort grid so each row shows the size of that signup cohort and the percentage of the original cohort that remained active in each later month.</t>
  </si>
  <si>
    <t>This is a good fit for COUNTIF and COUNTIFS. For example, a basic COUNTIF can count how many records belong to one category:</t>
  </si>
  <si>
    <t>Syntax = COUNTIF(A1:A10,1)</t>
  </si>
  <si>
    <t>Signup month</t>
  </si>
  <si>
    <t>Last active month</t>
  </si>
  <si>
    <t>C001</t>
  </si>
  <si>
    <t>C002</t>
  </si>
  <si>
    <t>C003</t>
  </si>
  <si>
    <t>C004</t>
  </si>
  <si>
    <t>C005</t>
  </si>
  <si>
    <t>C006</t>
  </si>
  <si>
    <t>C007</t>
  </si>
  <si>
    <t>C008</t>
  </si>
  <si>
    <t>C009</t>
  </si>
  <si>
    <t>C010</t>
  </si>
  <si>
    <t>C011</t>
  </si>
  <si>
    <t>C012</t>
  </si>
  <si>
    <t>Cohort month</t>
  </si>
  <si>
    <t>Cohort size</t>
  </si>
  <si>
    <t>Month +1</t>
  </si>
  <si>
    <t>Month +2</t>
  </si>
  <si>
    <t>Month +3</t>
  </si>
  <si>
    <t>Use the customer activity table in A1:C13 to complete the cohort retention grid in B16:E19. Fill in the cohort size for each signup month, then calculate only the follow-up month percentages that can be measured from the data shown. In the Month +1, Month +2, and Month +3 columns, enter the percentage of the original cohort that was still active at least that many months after signup. If a later month does not exist yet for that cohort, leave that cell blank.</t>
  </si>
  <si>
    <t>Build a date from separate parts with DATE</t>
  </si>
  <si>
    <t>Sometimes dates are stored with the year, month, and day in separate columns instead of as one real date. Excel needs a single date value to sort, filter, or calculate with those dates.</t>
  </si>
  <si>
    <t>The DATE function solves this. It takes three numbers and returns a proper Excel date:</t>
  </si>
  <si>
    <t>3. Press Enter. The cell should display a date.</t>
  </si>
  <si>
    <t>Syntax =DATE(year, month, day)</t>
  </si>
  <si>
    <t>Year</t>
  </si>
  <si>
    <t>Day</t>
  </si>
  <si>
    <t>Start Date</t>
  </si>
  <si>
    <t>Ana Lima</t>
  </si>
  <si>
    <t>Ben Park</t>
  </si>
  <si>
    <t>Cleo Nash</t>
  </si>
  <si>
    <t>Dan Osei</t>
  </si>
  <si>
    <t>Eva Chen</t>
  </si>
  <si>
    <t>Frank Cole</t>
  </si>
  <si>
    <t>For example, =DATE(2024, 6, 1) returns June 1, 2024.</t>
  </si>
  <si>
    <t>1. Click cell E2.</t>
  </si>
  <si>
    <t>2. Write a DATE formula that combines the year in column B, the month in column C, and the day in column D for that row.</t>
  </si>
  <si>
    <t>4. Copy the formula down from E2 through E7.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</si>
</sst>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 #,##0.00"/>
    <numFmt numFmtId="165" formatCode="0.0000000000E+00"/>
  </numFmts>
  <fonts count="10" x14ac:knownFonts="1">
    <font>
      <sz val="11"/>
      <color theme="1"/>
      <name val="Calibri"/>
      <family val="2"/>
      <scheme val="minor"/>
    </font>
    <font>
      <sz val="12"/>
      <color theme="1"/>
      <name val="Calibri Light"/>
      <family val="2"/>
      <scheme val="major"/>
    </font>
    <font>
      <sz val="12"/>
      <color rgb="FF1E1E1E"/>
      <name val="Calibri Light"/>
      <family val="2"/>
      <scheme val="major"/>
    </font>
    <font>
      <sz val="12"/>
      <color rgb="FF555555"/>
      <name val="Calibri Light"/>
      <family val="2"/>
      <scheme val="major"/>
    </font>
    <font>
      <i/>
      <sz val="12"/>
      <color rgb="FF000000"/>
      <name val="Calibri Light"/>
      <family val="2"/>
      <scheme val="major"/>
    </font>
    <font>
      <sz val="12"/>
      <color rgb="FF000000"/>
      <name val="Calibri Light"/>
      <family val="2"/>
      <scheme val="major"/>
    </font>
    <font>
      <i/>
      <sz val="12"/>
      <color rgb="FF444444"/>
      <name val="Calibri Light"/>
      <family val="2"/>
      <scheme val="major"/>
    </font>
    <font>
      <i/>
      <sz val="12"/>
      <color theme="1"/>
      <name val="Calibri Light"/>
      <family val="2"/>
      <scheme val="major"/>
    </font>
    <font>
      <sz val="12"/>
      <color rgb="FF6B7280"/>
      <name val="Calibri Light"/>
      <family val="2"/>
      <scheme val="major"/>
    </font>
    <font>
      <sz val="11"/>
      <color theme="1"/>
      <name val="Calibri"/>
      <family val="2"/>
      <scheme val="minor"/>
    </font>
  </fonts>
  <fills count="33">
    <fill>
      <patternFill patternType="none"/>
    </fill>
    <fill>
      <patternFill patternType="gray125"/>
    </fill>
    <fill>
      <patternFill patternType="solid">
        <fgColor rgb="FFC8E6C9"/>
        <bgColor indexed="64"/>
      </patternFill>
    </fill>
    <fill>
      <patternFill patternType="solid">
        <fgColor rgb="FFF0F0F0"/>
        <bgColor indexed="64"/>
      </patternFill>
    </fill>
    <fill>
      <patternFill patternType="solid">
        <fgColor rgb="FFF3F4F6"/>
        <bgColor indexed="64"/>
      </patternFill>
    </fill>
    <fill>
      <patternFill patternType="solid">
        <fgColor rgb="FFFAF5FF"/>
        <bgColor indexed="64"/>
      </patternFill>
    </fill>
    <fill>
      <patternFill patternType="solid">
        <fgColor rgb="FFFFF7E6"/>
        <bgColor indexed="64"/>
      </patternFill>
    </fill>
    <fill>
      <patternFill patternType="solid">
        <fgColor rgb="FFFAFAFA"/>
        <bgColor indexed="64"/>
      </patternFill>
    </fill>
    <fill>
      <patternFill patternType="solid">
        <fgColor rgb="FFE0F2FE"/>
        <bgColor indexed="64"/>
      </patternFill>
    </fill>
    <fill>
      <patternFill patternType="solid">
        <fgColor rgb="FFFDE68A"/>
        <bgColor indexed="64"/>
      </patternFill>
    </fill>
    <fill>
      <patternFill patternType="solid">
        <fgColor rgb="FFE3F2FD"/>
        <bgColor indexed="64"/>
      </patternFill>
    </fill>
    <fill>
      <patternFill patternType="solid">
        <fgColor rgb="FFFFFF00"/>
        <bgColor indexed="64"/>
      </patternFill>
    </fill>
    <fill>
      <patternFill patternType="solid">
        <fgColor rgb="FFF7F7F7"/>
        <bgColor indexed="64"/>
      </patternFill>
    </fill>
    <fill>
      <patternFill patternType="solid">
        <fgColor rgb="FFFFF7ED"/>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rgb="FFE8F1FF"/>
        <bgColor indexed="64"/>
      </patternFill>
    </fill>
    <fill>
      <patternFill patternType="solid">
        <fgColor theme="9" tint="0.59999389629810485"/>
        <bgColor indexed="64"/>
      </patternFill>
    </fill>
    <fill>
      <patternFill patternType="solid">
        <fgColor rgb="FFFFF4CC"/>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rgb="FFFEF9C3"/>
        <bgColor indexed="64"/>
      </patternFill>
    </fill>
    <fill>
      <patternFill patternType="solid">
        <fgColor rgb="FFEEF6FF"/>
        <bgColor indexed="64"/>
      </patternFill>
    </fill>
    <fill>
      <patternFill patternType="solid">
        <fgColor rgb="FFFFC000"/>
        <bgColor indexed="64"/>
      </patternFill>
    </fill>
    <fill>
      <patternFill patternType="solid">
        <fgColor rgb="FFF0F4F8"/>
        <bgColor indexed="64"/>
      </patternFill>
    </fill>
    <fill>
      <patternFill patternType="solid">
        <fgColor rgb="FFF7F2E6"/>
        <bgColor indexed="64"/>
      </patternFill>
    </fill>
    <fill>
      <patternFill patternType="solid">
        <fgColor rgb="FFFCF8EF"/>
        <bgColor indexed="64"/>
      </patternFill>
    </fill>
    <fill>
      <patternFill patternType="solid">
        <fgColor rgb="FFFEF3C7"/>
        <bgColor indexed="64"/>
      </patternFill>
    </fill>
    <fill>
      <patternFill patternType="solid">
        <fgColor rgb="FFF9FAFB"/>
        <bgColor indexed="64"/>
      </patternFill>
    </fill>
    <fill>
      <patternFill patternType="solid">
        <fgColor rgb="FFDBEAFE"/>
        <bgColor indexed="64"/>
      </patternFill>
    </fill>
    <fill>
      <patternFill patternType="solid">
        <fgColor rgb="FFDCFCE7"/>
        <bgColor indexed="64"/>
      </patternFill>
    </fill>
    <fill>
      <patternFill patternType="solid">
        <fgColor rgb="FFF8F8F8"/>
        <bgColor indexed="64"/>
      </patternFill>
    </fill>
  </fills>
  <borders count="1">
    <border>
      <left/>
      <right/>
      <top/>
      <bottom/>
      <diagonal/>
    </border>
  </borders>
  <cellStyleXfs count="2">
    <xf numFmtId="0" fontId="0" fillId="0" borderId="0"/>
    <xf numFmtId="9" fontId="9" fillId="0" borderId="0" applyFont="0" applyFill="0" applyBorder="0" applyAlignment="0" applyProtection="0"/>
  </cellStyleXfs>
  <cellXfs count="80">
    <xf numFmtId="0" fontId="0" fillId="0" borderId="0" xfId="0"/>
    <xf numFmtId="0" fontId="1" fillId="11" borderId="0" xfId="0" applyFont="1" applyFill="1" applyAlignment="1">
      <alignment vertical="top"/>
    </xf>
    <xf numFmtId="0" fontId="1" fillId="0" borderId="0" xfId="0" applyFont="1" applyAlignment="1">
      <alignment vertical="top"/>
    </xf>
    <xf numFmtId="0" fontId="1" fillId="0" borderId="0" xfId="0" applyFont="1" applyAlignment="1">
      <alignment horizontal="left" vertical="top"/>
    </xf>
    <xf numFmtId="0" fontId="1" fillId="11" borderId="0" xfId="0" applyFont="1" applyFill="1" applyAlignment="1">
      <alignment vertical="top" wrapText="1"/>
    </xf>
    <xf numFmtId="0" fontId="1" fillId="0" borderId="0" xfId="0" applyFont="1" applyAlignment="1">
      <alignment horizontal="left" vertical="top" wrapText="1"/>
    </xf>
    <xf numFmtId="0" fontId="1" fillId="2" borderId="0" xfId="0" applyFont="1" applyFill="1" applyAlignment="1">
      <alignment horizontal="left" vertical="top" wrapText="1"/>
    </xf>
    <xf numFmtId="0" fontId="1" fillId="0" borderId="0" xfId="0" applyFont="1" applyFill="1" applyAlignment="1">
      <alignment vertical="top" wrapText="1"/>
    </xf>
    <xf numFmtId="0" fontId="1" fillId="2" borderId="0" xfId="0" applyFont="1" applyFill="1" applyAlignment="1">
      <alignment vertical="center" wrapText="1"/>
    </xf>
    <xf numFmtId="0" fontId="1" fillId="0" borderId="0" xfId="0" applyFont="1" applyFill="1" applyAlignment="1">
      <alignment horizontal="left" vertical="top"/>
    </xf>
    <xf numFmtId="0" fontId="1" fillId="3" borderId="0" xfId="0" applyFont="1" applyFill="1" applyAlignment="1">
      <alignment vertical="center" wrapText="1"/>
    </xf>
    <xf numFmtId="2" fontId="1" fillId="0" borderId="0" xfId="0" applyNumberFormat="1" applyFont="1" applyAlignment="1">
      <alignment vertical="center" wrapText="1"/>
    </xf>
    <xf numFmtId="164" fontId="1" fillId="2" borderId="0" xfId="0" applyNumberFormat="1" applyFont="1" applyFill="1" applyAlignment="1">
      <alignment vertical="center" wrapText="1"/>
    </xf>
    <xf numFmtId="0" fontId="1" fillId="4" borderId="0" xfId="0" applyFont="1" applyFill="1" applyAlignment="1">
      <alignment vertical="center" wrapText="1"/>
    </xf>
    <xf numFmtId="0" fontId="1" fillId="5" borderId="0" xfId="0" applyFont="1" applyFill="1" applyAlignment="1">
      <alignment horizontal="left" vertical="center" wrapText="1"/>
    </xf>
    <xf numFmtId="4" fontId="1" fillId="2" borderId="0" xfId="0" applyNumberFormat="1" applyFont="1" applyFill="1" applyAlignment="1">
      <alignment vertical="center" wrapText="1"/>
    </xf>
    <xf numFmtId="4" fontId="1" fillId="6" borderId="0" xfId="0" applyNumberFormat="1" applyFont="1" applyFill="1" applyAlignment="1">
      <alignment vertical="center" wrapText="1"/>
    </xf>
    <xf numFmtId="0" fontId="2" fillId="11" borderId="0" xfId="0" applyFont="1" applyFill="1" applyAlignment="1">
      <alignment vertical="center" wrapText="1"/>
    </xf>
    <xf numFmtId="0" fontId="1" fillId="7" borderId="0" xfId="0" applyFont="1" applyFill="1" applyAlignment="1">
      <alignment vertical="center" wrapText="1"/>
    </xf>
    <xf numFmtId="164" fontId="1" fillId="0" borderId="0" xfId="0" applyNumberFormat="1" applyFont="1" applyAlignment="1">
      <alignment vertical="center" wrapText="1"/>
    </xf>
    <xf numFmtId="0" fontId="1" fillId="0" borderId="0" xfId="0" applyFont="1"/>
    <xf numFmtId="14" fontId="1" fillId="0" borderId="0" xfId="0" applyNumberFormat="1" applyFont="1" applyAlignment="1">
      <alignment vertical="center" wrapText="1"/>
    </xf>
    <xf numFmtId="0" fontId="1" fillId="11" borderId="0" xfId="0" applyFont="1" applyFill="1" applyAlignment="1">
      <alignment vertical="center" wrapText="1"/>
    </xf>
    <xf numFmtId="10" fontId="1" fillId="8" borderId="0" xfId="0" applyNumberFormat="1" applyFont="1" applyFill="1" applyAlignment="1">
      <alignment vertical="center" wrapText="1"/>
    </xf>
    <xf numFmtId="3" fontId="1" fillId="0" borderId="0" xfId="0" applyNumberFormat="1" applyFont="1" applyAlignment="1">
      <alignment vertical="center" wrapText="1"/>
    </xf>
    <xf numFmtId="10" fontId="1" fillId="2" borderId="0" xfId="0" applyNumberFormat="1" applyFont="1" applyFill="1" applyAlignment="1">
      <alignment vertical="center" wrapText="1"/>
    </xf>
    <xf numFmtId="3" fontId="1" fillId="2" borderId="0" xfId="0" applyNumberFormat="1" applyFont="1" applyFill="1" applyAlignment="1">
      <alignment vertical="center" wrapText="1"/>
    </xf>
    <xf numFmtId="0" fontId="1" fillId="9" borderId="0" xfId="0" applyFont="1" applyFill="1" applyAlignment="1">
      <alignment vertical="center" wrapText="1"/>
    </xf>
    <xf numFmtId="0" fontId="1" fillId="10" borderId="0" xfId="0" applyFont="1" applyFill="1" applyAlignment="1">
      <alignment vertical="center" wrapText="1"/>
    </xf>
    <xf numFmtId="9" fontId="1" fillId="2" borderId="0" xfId="0" applyNumberFormat="1" applyFont="1" applyFill="1" applyAlignment="1">
      <alignment vertical="center" wrapText="1"/>
    </xf>
    <xf numFmtId="0" fontId="1" fillId="0" borderId="0" xfId="0" applyFont="1" applyAlignment="1">
      <alignment horizontal="left" vertical="center" wrapText="1" indent="1"/>
    </xf>
    <xf numFmtId="0" fontId="1" fillId="0" borderId="0" xfId="0" applyFont="1" applyAlignment="1">
      <alignment horizontal="left" vertical="center" wrapText="1" indent="2"/>
    </xf>
    <xf numFmtId="0" fontId="3" fillId="0" borderId="0" xfId="0" applyFont="1" applyAlignment="1">
      <alignment vertical="center" wrapText="1"/>
    </xf>
    <xf numFmtId="0" fontId="1" fillId="12" borderId="0" xfId="0" applyFont="1" applyFill="1" applyAlignment="1">
      <alignment vertical="center" wrapText="1"/>
    </xf>
    <xf numFmtId="0" fontId="2" fillId="0" borderId="0" xfId="0" applyFont="1" applyAlignment="1">
      <alignment vertical="center" wrapText="1"/>
    </xf>
    <xf numFmtId="0" fontId="1" fillId="6" borderId="0" xfId="0" applyFont="1" applyFill="1" applyAlignment="1">
      <alignment vertical="center" wrapText="1"/>
    </xf>
    <xf numFmtId="0" fontId="1" fillId="13" borderId="0" xfId="0" applyFont="1" applyFill="1" applyAlignment="1">
      <alignment vertical="center" wrapText="1"/>
    </xf>
    <xf numFmtId="0" fontId="1" fillId="14" borderId="0" xfId="0" applyFont="1" applyFill="1" applyAlignment="1">
      <alignment vertical="center" wrapText="1"/>
    </xf>
    <xf numFmtId="0" fontId="1" fillId="15" borderId="0" xfId="0" applyFont="1" applyFill="1" applyAlignment="1">
      <alignment vertical="center" wrapText="1"/>
    </xf>
    <xf numFmtId="0" fontId="1" fillId="16" borderId="0" xfId="0" applyFont="1" applyFill="1" applyAlignment="1">
      <alignment vertical="center" wrapText="1"/>
    </xf>
    <xf numFmtId="0" fontId="1" fillId="17" borderId="0" xfId="0" applyFont="1" applyFill="1" applyAlignment="1">
      <alignment vertical="center" wrapText="1"/>
    </xf>
    <xf numFmtId="0" fontId="1" fillId="0" borderId="0" xfId="0" applyFont="1" applyAlignment="1">
      <alignment vertical="top" wrapText="1"/>
    </xf>
    <xf numFmtId="0" fontId="1" fillId="18" borderId="0" xfId="0" applyFont="1" applyFill="1" applyAlignment="1">
      <alignment horizontal="left" vertical="top" wrapText="1"/>
    </xf>
    <xf numFmtId="0" fontId="1" fillId="15" borderId="0" xfId="0" applyFont="1" applyFill="1" applyAlignment="1">
      <alignment horizontal="left" vertical="top" wrapText="1"/>
    </xf>
    <xf numFmtId="0" fontId="1" fillId="21" borderId="0" xfId="0" applyFont="1" applyFill="1" applyAlignment="1">
      <alignment horizontal="left" vertical="top" wrapText="1"/>
    </xf>
    <xf numFmtId="0" fontId="1" fillId="20" borderId="0" xfId="0" applyFont="1" applyFill="1" applyAlignment="1">
      <alignment horizontal="left" vertical="top" wrapText="1"/>
    </xf>
    <xf numFmtId="0" fontId="1" fillId="19" borderId="0" xfId="0" applyFont="1" applyFill="1" applyAlignment="1">
      <alignment vertical="center" wrapText="1"/>
    </xf>
    <xf numFmtId="14" fontId="1" fillId="8" borderId="0" xfId="0" applyNumberFormat="1" applyFont="1" applyFill="1" applyAlignment="1">
      <alignment vertical="center" wrapText="1"/>
    </xf>
    <xf numFmtId="0" fontId="1" fillId="22" borderId="0" xfId="0" applyFont="1" applyFill="1" applyAlignment="1">
      <alignment vertical="center" wrapText="1"/>
    </xf>
    <xf numFmtId="0" fontId="1" fillId="23" borderId="0" xfId="0" applyFont="1" applyFill="1" applyAlignment="1">
      <alignment vertical="center" wrapText="1"/>
    </xf>
    <xf numFmtId="0" fontId="1" fillId="24" borderId="0" xfId="0" applyFont="1" applyFill="1" applyAlignment="1">
      <alignment horizontal="left" vertical="top" wrapText="1"/>
    </xf>
    <xf numFmtId="0" fontId="6" fillId="0" borderId="0" xfId="0" applyFont="1" applyAlignment="1">
      <alignment vertical="center" wrapText="1"/>
    </xf>
    <xf numFmtId="0" fontId="1" fillId="8" borderId="0" xfId="0" applyFont="1" applyFill="1" applyAlignment="1">
      <alignment vertical="center" wrapText="1"/>
    </xf>
    <xf numFmtId="0" fontId="1" fillId="25" borderId="0" xfId="0" applyFont="1" applyFill="1" applyAlignment="1">
      <alignment vertical="center" wrapText="1"/>
    </xf>
    <xf numFmtId="165" fontId="1" fillId="2" borderId="0" xfId="0" applyNumberFormat="1" applyFont="1" applyFill="1" applyAlignment="1">
      <alignment vertical="center" wrapText="1"/>
    </xf>
    <xf numFmtId="0" fontId="8" fillId="0" borderId="0" xfId="0" applyFont="1" applyAlignment="1">
      <alignment vertical="center" wrapText="1"/>
    </xf>
    <xf numFmtId="0" fontId="1" fillId="26" borderId="0" xfId="0" applyFont="1" applyFill="1" applyAlignment="1">
      <alignment vertical="center" wrapText="1"/>
    </xf>
    <xf numFmtId="0" fontId="1" fillId="27" borderId="0" xfId="0" applyFont="1" applyFill="1" applyAlignment="1">
      <alignment vertical="center" wrapText="1"/>
    </xf>
    <xf numFmtId="1" fontId="1" fillId="10" borderId="0" xfId="0" applyNumberFormat="1" applyFont="1" applyFill="1" applyAlignment="1">
      <alignment vertical="center" wrapText="1"/>
    </xf>
    <xf numFmtId="14" fontId="1" fillId="11" borderId="0" xfId="0" applyNumberFormat="1" applyFont="1" applyFill="1" applyAlignment="1">
      <alignment vertical="center" wrapText="1"/>
    </xf>
    <xf numFmtId="0" fontId="1" fillId="28" borderId="0" xfId="0" applyFont="1" applyFill="1" applyAlignment="1">
      <alignment vertical="center" wrapText="1"/>
    </xf>
    <xf numFmtId="0" fontId="1" fillId="29" borderId="0" xfId="0" applyFont="1" applyFill="1" applyAlignment="1">
      <alignment vertical="center" wrapText="1"/>
    </xf>
    <xf numFmtId="0" fontId="5" fillId="0" borderId="0" xfId="0" applyFont="1" applyAlignment="1">
      <alignment vertical="center" wrapText="1"/>
    </xf>
    <xf numFmtId="0" fontId="5" fillId="0" borderId="0" xfId="0" applyFont="1" applyAlignment="1">
      <alignment horizontal="left" vertical="center" wrapText="1" indent="1"/>
    </xf>
    <xf numFmtId="0" fontId="1" fillId="0" borderId="0" xfId="0" applyFont="1" applyAlignment="1">
      <alignment vertical="center"/>
    </xf>
    <xf numFmtId="0" fontId="1" fillId="0" borderId="0" xfId="0" applyFont="1" applyAlignment="1">
      <alignment horizontal="center" vertical="center" wrapText="1"/>
    </xf>
    <xf numFmtId="0" fontId="1" fillId="0" borderId="0" xfId="0" applyFont="1" applyAlignment="1">
      <alignment horizontal="center" vertical="top"/>
    </xf>
    <xf numFmtId="0" fontId="1" fillId="0" borderId="0" xfId="0" applyFont="1" applyAlignment="1">
      <alignment vertical="center" wrapText="1"/>
    </xf>
    <xf numFmtId="0" fontId="1" fillId="30" borderId="0" xfId="0" applyFont="1" applyFill="1" applyAlignment="1">
      <alignment vertical="center" wrapText="1"/>
    </xf>
    <xf numFmtId="0" fontId="1" fillId="31" borderId="0" xfId="0" applyFont="1" applyFill="1" applyAlignment="1">
      <alignment vertical="center" wrapText="1"/>
    </xf>
    <xf numFmtId="0" fontId="1" fillId="11" borderId="0" xfId="0" applyFont="1" applyFill="1" applyAlignment="1">
      <alignment horizontal="left" vertical="center" wrapText="1" indent="1"/>
    </xf>
    <xf numFmtId="0" fontId="1" fillId="0" borderId="0" xfId="0" applyFont="1" applyAlignment="1">
      <alignment horizontal="center" vertical="center" wrapText="1"/>
    </xf>
    <xf numFmtId="0" fontId="1" fillId="0" borderId="0" xfId="0" applyFont="1" applyAlignment="1">
      <alignment horizontal="center" vertical="top" wrapText="1"/>
    </xf>
    <xf numFmtId="0" fontId="6" fillId="0" borderId="0" xfId="0" applyFont="1" applyAlignment="1">
      <alignment horizontal="center" vertical="center" wrapText="1"/>
    </xf>
    <xf numFmtId="0" fontId="1" fillId="0" borderId="0" xfId="0" applyFont="1" applyAlignment="1">
      <alignment vertical="center" wrapText="1"/>
    </xf>
    <xf numFmtId="0" fontId="1" fillId="0" borderId="0" xfId="0" applyFont="1" applyAlignment="1">
      <alignment horizontal="center" vertical="top"/>
    </xf>
    <xf numFmtId="0" fontId="1" fillId="0" borderId="0" xfId="0" applyFont="1" applyAlignment="1">
      <alignment horizontal="center" vertical="center"/>
    </xf>
    <xf numFmtId="0" fontId="5" fillId="0" borderId="0" xfId="0" applyFont="1" applyAlignment="1">
      <alignment horizontal="center" vertical="center" wrapText="1"/>
    </xf>
    <xf numFmtId="9" fontId="1" fillId="10" borderId="0" xfId="1" applyFont="1" applyFill="1" applyAlignment="1">
      <alignment vertical="center" wrapText="1"/>
    </xf>
    <xf numFmtId="0" fontId="1" fillId="32" borderId="0" xfId="0" applyFont="1" applyFill="1" applyAlignment="1">
      <alignment vertical="center" wrapText="1"/>
    </xf>
  </cellXfs>
  <cellStyles count="2">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7" Type="http://schemas.microsoft.com/office/2017/10/relationships/person" Target="persons/person.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eetMetadata" Target="metadata.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1223"/>
  <sheetViews>
    <sheetView tabSelected="1" topLeftCell="A1217" zoomScale="85" zoomScaleNormal="85" workbookViewId="0">
      <selection activeCell="A1230" sqref="A1230"/>
    </sheetView>
  </sheetViews>
  <sheetFormatPr defaultRowHeight="15.6" x14ac:dyDescent="0.3"/>
  <cols>
    <col min="1" max="1" width="149.88671875" style="3" bestFit="1" customWidth="1"/>
    <col min="2" max="2" width="44.44140625" style="3" customWidth="1"/>
    <col min="3" max="3" width="43.33203125" style="3" customWidth="1"/>
    <col min="4" max="4" width="27.33203125" style="3" customWidth="1"/>
    <col min="5" max="5" width="26" style="3" customWidth="1"/>
    <col min="6" max="6" width="24.44140625" style="3" customWidth="1"/>
    <col min="7" max="17" width="21.88671875" style="3" customWidth="1"/>
    <col min="18" max="16384" width="8.88671875" style="3"/>
  </cols>
  <sheetData>
    <row r="1" spans="1:23" x14ac:dyDescent="0.3">
      <c r="A1" s="1" t="s">
        <v>0</v>
      </c>
      <c r="B1" s="2"/>
      <c r="C1" s="2"/>
      <c r="D1" s="2"/>
      <c r="E1" s="2"/>
      <c r="F1" s="2"/>
      <c r="G1" s="2"/>
      <c r="H1" s="2"/>
      <c r="I1" s="2"/>
      <c r="J1" s="2"/>
    </row>
    <row r="3" spans="1:23" x14ac:dyDescent="0.3">
      <c r="B3" s="3">
        <f>32+57</f>
        <v>89</v>
      </c>
    </row>
    <row r="6" spans="1:23" x14ac:dyDescent="0.3">
      <c r="A6" s="4" t="s">
        <v>213</v>
      </c>
    </row>
    <row r="8" spans="1:23" x14ac:dyDescent="0.3">
      <c r="A8" s="5" t="s">
        <v>1</v>
      </c>
      <c r="B8" s="5"/>
    </row>
    <row r="9" spans="1:23" x14ac:dyDescent="0.3">
      <c r="A9" s="5" t="s">
        <v>2</v>
      </c>
      <c r="B9" s="5">
        <v>4000</v>
      </c>
    </row>
    <row r="10" spans="1:23" x14ac:dyDescent="0.3">
      <c r="A10" s="5" t="s">
        <v>3</v>
      </c>
      <c r="B10" s="5">
        <v>-1300</v>
      </c>
    </row>
    <row r="11" spans="1:23" x14ac:dyDescent="0.3">
      <c r="A11" s="5" t="s">
        <v>4</v>
      </c>
      <c r="B11" s="5">
        <v>-400</v>
      </c>
    </row>
    <row r="12" spans="1:23" x14ac:dyDescent="0.3">
      <c r="A12" s="5" t="s">
        <v>5</v>
      </c>
      <c r="B12" s="5">
        <v>-250</v>
      </c>
    </row>
    <row r="13" spans="1:23" x14ac:dyDescent="0.3">
      <c r="A13" s="5"/>
      <c r="B13" s="5"/>
    </row>
    <row r="14" spans="1:23" x14ac:dyDescent="0.3">
      <c r="A14" s="5" t="s">
        <v>6</v>
      </c>
      <c r="B14" s="6">
        <f xml:space="preserve"> SUM(B9:B12)</f>
        <v>2050</v>
      </c>
    </row>
    <row r="16" spans="1:23" x14ac:dyDescent="0.3">
      <c r="A16" s="4" t="s">
        <v>28</v>
      </c>
      <c r="B16" s="7"/>
      <c r="C16" s="7"/>
      <c r="D16" s="7"/>
      <c r="E16" s="7"/>
      <c r="F16" s="7"/>
      <c r="G16" s="7"/>
      <c r="H16" s="7"/>
      <c r="I16" s="7"/>
      <c r="J16" s="7"/>
      <c r="K16" s="7"/>
      <c r="L16" s="7"/>
      <c r="M16" s="7"/>
      <c r="N16" s="7"/>
      <c r="O16" s="7"/>
      <c r="P16" s="7"/>
      <c r="Q16" s="7"/>
      <c r="R16" s="7"/>
      <c r="S16" s="7"/>
      <c r="T16" s="7"/>
      <c r="U16" s="7"/>
      <c r="V16" s="7"/>
      <c r="W16" s="7"/>
    </row>
    <row r="18" spans="1:23" x14ac:dyDescent="0.3">
      <c r="A18" s="67">
        <v>7</v>
      </c>
    </row>
    <row r="19" spans="1:23" x14ac:dyDescent="0.3">
      <c r="A19" s="67">
        <v>18</v>
      </c>
    </row>
    <row r="20" spans="1:23" x14ac:dyDescent="0.3">
      <c r="A20" s="67">
        <v>35</v>
      </c>
    </row>
    <row r="21" spans="1:23" x14ac:dyDescent="0.3">
      <c r="A21" s="67">
        <v>1</v>
      </c>
    </row>
    <row r="22" spans="1:23" x14ac:dyDescent="0.3">
      <c r="A22" s="67">
        <v>9</v>
      </c>
    </row>
    <row r="23" spans="1:23" x14ac:dyDescent="0.3">
      <c r="A23" s="67"/>
    </row>
    <row r="24" spans="1:23" x14ac:dyDescent="0.3">
      <c r="A24" s="8">
        <f>AVERAGE(A18:A22)</f>
        <v>14</v>
      </c>
    </row>
    <row r="26" spans="1:23" s="9" customFormat="1" x14ac:dyDescent="0.3">
      <c r="A26" s="4" t="s">
        <v>212</v>
      </c>
      <c r="B26" s="7"/>
      <c r="C26" s="7"/>
      <c r="D26" s="7"/>
      <c r="E26" s="7"/>
      <c r="F26" s="7"/>
      <c r="G26" s="7"/>
      <c r="H26" s="7"/>
      <c r="I26" s="7"/>
      <c r="J26" s="7"/>
      <c r="K26" s="7"/>
      <c r="L26" s="7"/>
      <c r="M26" s="7"/>
      <c r="N26" s="7"/>
      <c r="O26" s="7"/>
      <c r="P26" s="7"/>
      <c r="Q26" s="7"/>
      <c r="R26" s="7"/>
      <c r="S26" s="7"/>
      <c r="T26" s="7"/>
      <c r="U26" s="7"/>
      <c r="V26" s="7"/>
      <c r="W26" s="7"/>
    </row>
    <row r="27" spans="1:23" x14ac:dyDescent="0.3">
      <c r="A27" s="10" t="s">
        <v>7</v>
      </c>
      <c r="B27" s="10" t="s">
        <v>8</v>
      </c>
      <c r="C27" s="10" t="s">
        <v>9</v>
      </c>
      <c r="D27" s="10" t="s">
        <v>10</v>
      </c>
    </row>
    <row r="28" spans="1:23" x14ac:dyDescent="0.3">
      <c r="A28" s="67" t="s">
        <v>11</v>
      </c>
      <c r="B28" s="11">
        <v>3</v>
      </c>
      <c r="C28" s="11">
        <v>25</v>
      </c>
      <c r="D28" s="12">
        <f>B28*C28</f>
        <v>75</v>
      </c>
    </row>
    <row r="29" spans="1:23" x14ac:dyDescent="0.3">
      <c r="A29" s="67" t="s">
        <v>12</v>
      </c>
      <c r="B29" s="11">
        <v>5</v>
      </c>
      <c r="C29" s="11">
        <v>18</v>
      </c>
      <c r="D29" s="12">
        <f t="shared" ref="D29:D33" si="0">B29*C29</f>
        <v>90</v>
      </c>
    </row>
    <row r="30" spans="1:23" x14ac:dyDescent="0.3">
      <c r="A30" s="67" t="s">
        <v>13</v>
      </c>
      <c r="B30" s="11">
        <v>10</v>
      </c>
      <c r="C30" s="11">
        <v>9</v>
      </c>
      <c r="D30" s="12">
        <f t="shared" si="0"/>
        <v>90</v>
      </c>
    </row>
    <row r="31" spans="1:23" x14ac:dyDescent="0.3">
      <c r="A31" s="67" t="s">
        <v>14</v>
      </c>
      <c r="B31" s="11">
        <v>2</v>
      </c>
      <c r="C31" s="11">
        <v>42</v>
      </c>
      <c r="D31" s="12">
        <f t="shared" si="0"/>
        <v>84</v>
      </c>
    </row>
    <row r="32" spans="1:23" x14ac:dyDescent="0.3">
      <c r="A32" s="67" t="s">
        <v>15</v>
      </c>
      <c r="B32" s="11">
        <v>12</v>
      </c>
      <c r="C32" s="11">
        <v>6</v>
      </c>
      <c r="D32" s="12">
        <f t="shared" si="0"/>
        <v>72</v>
      </c>
    </row>
    <row r="33" spans="1:4" x14ac:dyDescent="0.3">
      <c r="A33" s="67" t="s">
        <v>16</v>
      </c>
      <c r="B33" s="11">
        <v>4</v>
      </c>
      <c r="C33" s="11">
        <v>15</v>
      </c>
      <c r="D33" s="12">
        <f t="shared" si="0"/>
        <v>60</v>
      </c>
    </row>
    <row r="34" spans="1:4" x14ac:dyDescent="0.3">
      <c r="A34" s="67"/>
      <c r="B34" s="11"/>
      <c r="C34" s="11"/>
      <c r="D34" s="12"/>
    </row>
    <row r="35" spans="1:4" x14ac:dyDescent="0.3">
      <c r="A35" s="4" t="s">
        <v>215</v>
      </c>
    </row>
    <row r="36" spans="1:4" ht="202.8" x14ac:dyDescent="0.3">
      <c r="A36" s="5" t="s">
        <v>214</v>
      </c>
    </row>
    <row r="38" spans="1:4" x14ac:dyDescent="0.3">
      <c r="A38" s="13" t="s">
        <v>17</v>
      </c>
      <c r="B38" s="13" t="s">
        <v>18</v>
      </c>
      <c r="C38" s="13" t="s">
        <v>19</v>
      </c>
    </row>
    <row r="39" spans="1:4" x14ac:dyDescent="0.3">
      <c r="A39" s="67" t="s">
        <v>20</v>
      </c>
      <c r="B39" s="14">
        <v>1250</v>
      </c>
      <c r="C39" s="15">
        <f>VALUE(B39)</f>
        <v>1250</v>
      </c>
    </row>
    <row r="40" spans="1:4" x14ac:dyDescent="0.3">
      <c r="A40" s="67" t="s">
        <v>21</v>
      </c>
      <c r="B40" s="14">
        <v>879.5</v>
      </c>
      <c r="C40" s="15">
        <f t="shared" ref="C40:C44" si="1">VALUE(B40)</f>
        <v>879.5</v>
      </c>
    </row>
    <row r="41" spans="1:4" x14ac:dyDescent="0.3">
      <c r="A41" s="67" t="s">
        <v>22</v>
      </c>
      <c r="B41" s="14">
        <v>3200</v>
      </c>
      <c r="C41" s="15">
        <f t="shared" si="1"/>
        <v>3200</v>
      </c>
    </row>
    <row r="42" spans="1:4" x14ac:dyDescent="0.3">
      <c r="A42" s="67" t="s">
        <v>23</v>
      </c>
      <c r="B42" s="14">
        <v>415.75</v>
      </c>
      <c r="C42" s="15">
        <f t="shared" si="1"/>
        <v>415.75</v>
      </c>
    </row>
    <row r="43" spans="1:4" x14ac:dyDescent="0.3">
      <c r="A43" s="67" t="s">
        <v>24</v>
      </c>
      <c r="B43" s="14">
        <v>999</v>
      </c>
      <c r="C43" s="15">
        <f t="shared" si="1"/>
        <v>999</v>
      </c>
    </row>
    <row r="44" spans="1:4" x14ac:dyDescent="0.3">
      <c r="A44" s="67" t="s">
        <v>25</v>
      </c>
      <c r="B44" s="14">
        <v>150.25</v>
      </c>
      <c r="C44" s="15">
        <f t="shared" si="1"/>
        <v>150.25</v>
      </c>
    </row>
    <row r="45" spans="1:4" x14ac:dyDescent="0.3">
      <c r="A45" s="67" t="s">
        <v>26</v>
      </c>
      <c r="B45" s="67">
        <v>0</v>
      </c>
      <c r="C45" s="16">
        <f>SUM(C39:C44)</f>
        <v>6894.5</v>
      </c>
    </row>
    <row r="47" spans="1:4" x14ac:dyDescent="0.3">
      <c r="A47" s="17" t="s">
        <v>27</v>
      </c>
    </row>
    <row r="48" spans="1:4" ht="93.6" x14ac:dyDescent="0.3">
      <c r="A48" s="5" t="s">
        <v>211</v>
      </c>
    </row>
    <row r="49" spans="1:4" x14ac:dyDescent="0.3">
      <c r="A49" s="5"/>
    </row>
    <row r="50" spans="1:4" x14ac:dyDescent="0.3">
      <c r="A50" s="13" t="s">
        <v>29</v>
      </c>
      <c r="B50" s="13" t="s">
        <v>30</v>
      </c>
      <c r="C50" s="13" t="s">
        <v>31</v>
      </c>
      <c r="D50" s="13" t="s">
        <v>32</v>
      </c>
    </row>
    <row r="51" spans="1:4" x14ac:dyDescent="0.3">
      <c r="A51" s="67" t="s">
        <v>33</v>
      </c>
      <c r="B51" s="18">
        <v>7.8</v>
      </c>
      <c r="C51" s="8">
        <f>INT(B51)</f>
        <v>7</v>
      </c>
      <c r="D51" s="8">
        <f>TRUNC(B51)</f>
        <v>7</v>
      </c>
    </row>
    <row r="52" spans="1:4" x14ac:dyDescent="0.3">
      <c r="A52" s="67" t="s">
        <v>34</v>
      </c>
      <c r="B52" s="18">
        <v>15.23</v>
      </c>
      <c r="C52" s="8">
        <f t="shared" ref="C52:C61" si="2">INT(B52)</f>
        <v>15</v>
      </c>
      <c r="D52" s="8">
        <f t="shared" ref="D52:D61" si="3">TRUNC(B52)</f>
        <v>15</v>
      </c>
    </row>
    <row r="53" spans="1:4" x14ac:dyDescent="0.3">
      <c r="A53" s="67" t="s">
        <v>35</v>
      </c>
      <c r="B53" s="18">
        <v>99.9</v>
      </c>
      <c r="C53" s="8">
        <f t="shared" si="2"/>
        <v>99</v>
      </c>
      <c r="D53" s="8">
        <f t="shared" si="3"/>
        <v>99</v>
      </c>
    </row>
    <row r="54" spans="1:4" x14ac:dyDescent="0.3">
      <c r="A54" s="67" t="s">
        <v>36</v>
      </c>
      <c r="B54" s="18">
        <v>-3.4</v>
      </c>
      <c r="C54" s="8">
        <f t="shared" si="2"/>
        <v>-4</v>
      </c>
      <c r="D54" s="8">
        <f t="shared" si="3"/>
        <v>-3</v>
      </c>
    </row>
    <row r="55" spans="1:4" x14ac:dyDescent="0.3">
      <c r="A55" s="67" t="s">
        <v>37</v>
      </c>
      <c r="B55" s="18">
        <v>-12.75</v>
      </c>
      <c r="C55" s="8">
        <f t="shared" si="2"/>
        <v>-13</v>
      </c>
      <c r="D55" s="8">
        <f t="shared" si="3"/>
        <v>-12</v>
      </c>
    </row>
    <row r="56" spans="1:4" x14ac:dyDescent="0.3">
      <c r="A56" s="67" t="s">
        <v>38</v>
      </c>
      <c r="B56" s="18">
        <v>-0.62</v>
      </c>
      <c r="C56" s="8">
        <f t="shared" si="2"/>
        <v>-1</v>
      </c>
      <c r="D56" s="8">
        <f t="shared" si="3"/>
        <v>0</v>
      </c>
    </row>
    <row r="57" spans="1:4" x14ac:dyDescent="0.3">
      <c r="A57" s="67" t="s">
        <v>39</v>
      </c>
      <c r="B57" s="18">
        <v>22.49</v>
      </c>
      <c r="C57" s="8">
        <f t="shared" si="2"/>
        <v>22</v>
      </c>
      <c r="D57" s="8">
        <f t="shared" si="3"/>
        <v>22</v>
      </c>
    </row>
    <row r="58" spans="1:4" x14ac:dyDescent="0.3">
      <c r="A58" s="67" t="s">
        <v>40</v>
      </c>
      <c r="B58" s="18">
        <v>-8.01</v>
      </c>
      <c r="C58" s="8">
        <f t="shared" si="2"/>
        <v>-9</v>
      </c>
      <c r="D58" s="8">
        <f t="shared" si="3"/>
        <v>-8</v>
      </c>
    </row>
    <row r="59" spans="1:4" x14ac:dyDescent="0.3">
      <c r="A59" s="67" t="s">
        <v>41</v>
      </c>
      <c r="B59" s="18">
        <v>4.99</v>
      </c>
      <c r="C59" s="8">
        <f t="shared" si="2"/>
        <v>4</v>
      </c>
      <c r="D59" s="8">
        <f t="shared" si="3"/>
        <v>4</v>
      </c>
    </row>
    <row r="60" spans="1:4" x14ac:dyDescent="0.3">
      <c r="A60" s="67" t="s">
        <v>42</v>
      </c>
      <c r="B60" s="18">
        <v>11.58</v>
      </c>
      <c r="C60" s="8">
        <f t="shared" si="2"/>
        <v>11</v>
      </c>
      <c r="D60" s="8">
        <f t="shared" si="3"/>
        <v>11</v>
      </c>
    </row>
    <row r="61" spans="1:4" x14ac:dyDescent="0.3">
      <c r="A61" s="67" t="s">
        <v>43</v>
      </c>
      <c r="B61" s="18">
        <v>-5.2</v>
      </c>
      <c r="C61" s="8">
        <f t="shared" si="2"/>
        <v>-6</v>
      </c>
      <c r="D61" s="8">
        <f t="shared" si="3"/>
        <v>-5</v>
      </c>
    </row>
    <row r="63" spans="1:4" x14ac:dyDescent="0.3">
      <c r="A63" s="17" t="s">
        <v>44</v>
      </c>
    </row>
    <row r="64" spans="1:4" ht="93.6" x14ac:dyDescent="0.3">
      <c r="A64" s="5" t="s">
        <v>45</v>
      </c>
    </row>
    <row r="65" spans="1:4" x14ac:dyDescent="0.3">
      <c r="A65" s="5"/>
    </row>
    <row r="66" spans="1:4" x14ac:dyDescent="0.3">
      <c r="A66" s="10" t="s">
        <v>46</v>
      </c>
      <c r="B66" s="10" t="s">
        <v>47</v>
      </c>
      <c r="C66" s="10" t="s">
        <v>8</v>
      </c>
      <c r="D66" s="10" t="s">
        <v>48</v>
      </c>
    </row>
    <row r="67" spans="1:4" x14ac:dyDescent="0.3">
      <c r="A67" s="67" t="s">
        <v>49</v>
      </c>
      <c r="B67" s="67" t="s">
        <v>50</v>
      </c>
      <c r="C67" s="67">
        <v>48</v>
      </c>
      <c r="D67" s="67" t="s">
        <v>51</v>
      </c>
    </row>
    <row r="68" spans="1:4" x14ac:dyDescent="0.3">
      <c r="A68" s="67" t="s">
        <v>52</v>
      </c>
      <c r="B68" s="67" t="s">
        <v>53</v>
      </c>
      <c r="C68" s="67">
        <v>15</v>
      </c>
      <c r="D68" s="67" t="s">
        <v>54</v>
      </c>
    </row>
    <row r="69" spans="1:4" x14ac:dyDescent="0.3">
      <c r="A69" s="67" t="s">
        <v>55</v>
      </c>
      <c r="B69" s="67" t="s">
        <v>56</v>
      </c>
      <c r="C69" s="67">
        <v>22</v>
      </c>
      <c r="D69" s="67" t="s">
        <v>57</v>
      </c>
    </row>
    <row r="70" spans="1:4" x14ac:dyDescent="0.3">
      <c r="A70" s="67" t="s">
        <v>58</v>
      </c>
      <c r="B70" s="67" t="s">
        <v>56</v>
      </c>
      <c r="C70" s="67">
        <v>10</v>
      </c>
      <c r="D70" s="67" t="s">
        <v>59</v>
      </c>
    </row>
    <row r="71" spans="1:4" x14ac:dyDescent="0.3">
      <c r="A71" s="67" t="s">
        <v>60</v>
      </c>
      <c r="B71" s="67" t="s">
        <v>61</v>
      </c>
      <c r="C71" s="67"/>
      <c r="D71" s="67" t="s">
        <v>62</v>
      </c>
    </row>
    <row r="72" spans="1:4" x14ac:dyDescent="0.3">
      <c r="A72" s="67" t="s">
        <v>63</v>
      </c>
      <c r="B72" s="67" t="s">
        <v>64</v>
      </c>
      <c r="C72" s="67">
        <v>5</v>
      </c>
      <c r="D72" s="67" t="s">
        <v>65</v>
      </c>
    </row>
    <row r="73" spans="1:4" x14ac:dyDescent="0.3">
      <c r="A73" s="67" t="s">
        <v>66</v>
      </c>
      <c r="B73" s="67" t="s">
        <v>67</v>
      </c>
      <c r="C73" s="67">
        <v>2</v>
      </c>
      <c r="D73" s="67" t="s">
        <v>68</v>
      </c>
    </row>
    <row r="74" spans="1:4" x14ac:dyDescent="0.3">
      <c r="A74" s="18" t="s">
        <v>69</v>
      </c>
      <c r="B74" s="8">
        <f>COUNTA(B67:B73)</f>
        <v>7</v>
      </c>
      <c r="C74" s="18" t="s">
        <v>70</v>
      </c>
      <c r="D74" s="8">
        <f>COUNT(C67:C73)</f>
        <v>6</v>
      </c>
    </row>
    <row r="76" spans="1:4" x14ac:dyDescent="0.3">
      <c r="A76" s="17" t="s">
        <v>71</v>
      </c>
    </row>
    <row r="77" spans="1:4" ht="78" x14ac:dyDescent="0.3">
      <c r="A77" s="5" t="s">
        <v>72</v>
      </c>
    </row>
    <row r="78" spans="1:4" x14ac:dyDescent="0.3">
      <c r="A78" s="10" t="s">
        <v>73</v>
      </c>
      <c r="B78" s="10" t="s">
        <v>74</v>
      </c>
    </row>
    <row r="79" spans="1:4" x14ac:dyDescent="0.3">
      <c r="A79" s="67" t="s">
        <v>75</v>
      </c>
      <c r="B79" s="67">
        <v>18500</v>
      </c>
    </row>
    <row r="80" spans="1:4" x14ac:dyDescent="0.3">
      <c r="A80" s="67" t="s">
        <v>76</v>
      </c>
      <c r="B80" s="67">
        <v>21250</v>
      </c>
    </row>
    <row r="81" spans="1:3" x14ac:dyDescent="0.3">
      <c r="A81" s="67" t="s">
        <v>77</v>
      </c>
      <c r="B81" s="67">
        <v>19800</v>
      </c>
    </row>
    <row r="82" spans="1:3" x14ac:dyDescent="0.3">
      <c r="A82" s="67" t="s">
        <v>78</v>
      </c>
      <c r="B82" s="67">
        <v>25000</v>
      </c>
    </row>
    <row r="83" spans="1:3" x14ac:dyDescent="0.3">
      <c r="A83" s="67" t="s">
        <v>79</v>
      </c>
      <c r="B83" s="67">
        <v>23750</v>
      </c>
    </row>
    <row r="84" spans="1:3" x14ac:dyDescent="0.3">
      <c r="A84" s="67" t="s">
        <v>80</v>
      </c>
      <c r="B84" s="67">
        <v>22100</v>
      </c>
    </row>
    <row r="85" spans="1:3" x14ac:dyDescent="0.3">
      <c r="A85" s="67" t="s">
        <v>81</v>
      </c>
      <c r="B85" s="67">
        <v>26400</v>
      </c>
    </row>
    <row r="86" spans="1:3" x14ac:dyDescent="0.3">
      <c r="A86" s="67" t="s">
        <v>82</v>
      </c>
      <c r="B86" s="67">
        <v>24300</v>
      </c>
    </row>
    <row r="87" spans="1:3" x14ac:dyDescent="0.3">
      <c r="A87" s="67" t="s">
        <v>83</v>
      </c>
      <c r="B87" s="8">
        <v>26400</v>
      </c>
    </row>
    <row r="89" spans="1:3" x14ac:dyDescent="0.3">
      <c r="A89" s="17" t="s">
        <v>84</v>
      </c>
    </row>
    <row r="90" spans="1:3" ht="62.4" x14ac:dyDescent="0.3">
      <c r="A90" s="5" t="s">
        <v>85</v>
      </c>
    </row>
    <row r="91" spans="1:3" x14ac:dyDescent="0.3">
      <c r="A91" s="5"/>
    </row>
    <row r="92" spans="1:3" x14ac:dyDescent="0.3">
      <c r="A92" s="10" t="s">
        <v>86</v>
      </c>
      <c r="B92" s="10" t="s">
        <v>87</v>
      </c>
      <c r="C92" s="10" t="s">
        <v>88</v>
      </c>
    </row>
    <row r="93" spans="1:3" x14ac:dyDescent="0.3">
      <c r="A93" s="67" t="s">
        <v>89</v>
      </c>
      <c r="B93" s="67" t="s">
        <v>90</v>
      </c>
      <c r="C93" s="19">
        <v>425</v>
      </c>
    </row>
    <row r="94" spans="1:3" x14ac:dyDescent="0.3">
      <c r="A94" s="67" t="s">
        <v>91</v>
      </c>
      <c r="B94" s="67" t="s">
        <v>92</v>
      </c>
      <c r="C94" s="19">
        <v>980</v>
      </c>
    </row>
    <row r="95" spans="1:3" x14ac:dyDescent="0.3">
      <c r="A95" s="67" t="s">
        <v>93</v>
      </c>
      <c r="B95" s="67" t="s">
        <v>94</v>
      </c>
      <c r="C95" s="19">
        <v>160</v>
      </c>
    </row>
    <row r="96" spans="1:3" x14ac:dyDescent="0.3">
      <c r="A96" s="67" t="s">
        <v>95</v>
      </c>
      <c r="B96" s="67" t="s">
        <v>96</v>
      </c>
      <c r="C96" s="19">
        <v>350</v>
      </c>
    </row>
    <row r="97" spans="1:4" x14ac:dyDescent="0.3">
      <c r="A97" s="67" t="s">
        <v>97</v>
      </c>
      <c r="B97" s="67" t="s">
        <v>98</v>
      </c>
      <c r="C97" s="19">
        <v>1200</v>
      </c>
    </row>
    <row r="98" spans="1:4" x14ac:dyDescent="0.3">
      <c r="A98" s="67" t="s">
        <v>99</v>
      </c>
      <c r="B98" s="67" t="s">
        <v>90</v>
      </c>
      <c r="C98" s="19">
        <v>95</v>
      </c>
    </row>
    <row r="99" spans="1:4" x14ac:dyDescent="0.3">
      <c r="A99" s="67" t="s">
        <v>100</v>
      </c>
      <c r="B99" s="67"/>
      <c r="C99" s="12">
        <f>MIN(C93:C98)</f>
        <v>95</v>
      </c>
    </row>
    <row r="101" spans="1:4" x14ac:dyDescent="0.3">
      <c r="A101" s="17" t="s">
        <v>101</v>
      </c>
    </row>
    <row r="102" spans="1:4" x14ac:dyDescent="0.3">
      <c r="A102" s="20" t="s">
        <v>102</v>
      </c>
    </row>
    <row r="103" spans="1:4" ht="124.8" x14ac:dyDescent="0.3">
      <c r="A103" s="5" t="s">
        <v>103</v>
      </c>
    </row>
    <row r="104" spans="1:4" x14ac:dyDescent="0.3">
      <c r="A104" s="13" t="s">
        <v>104</v>
      </c>
      <c r="B104" s="13" t="s">
        <v>105</v>
      </c>
      <c r="C104" s="13" t="s">
        <v>47</v>
      </c>
      <c r="D104" s="13" t="s">
        <v>88</v>
      </c>
    </row>
    <row r="105" spans="1:4" x14ac:dyDescent="0.3">
      <c r="A105" s="67">
        <v>1001</v>
      </c>
      <c r="B105" s="21">
        <v>46025</v>
      </c>
      <c r="C105" s="67" t="s">
        <v>106</v>
      </c>
      <c r="D105" s="67">
        <v>249.99</v>
      </c>
    </row>
    <row r="106" spans="1:4" x14ac:dyDescent="0.3">
      <c r="A106" s="67">
        <v>1002</v>
      </c>
      <c r="B106" s="21">
        <v>46026</v>
      </c>
      <c r="C106" s="67" t="s">
        <v>107</v>
      </c>
      <c r="D106" s="67">
        <v>39.5</v>
      </c>
    </row>
    <row r="107" spans="1:4" x14ac:dyDescent="0.3">
      <c r="A107" s="67">
        <v>1003</v>
      </c>
      <c r="B107" s="21">
        <v>46027</v>
      </c>
      <c r="C107" s="67" t="s">
        <v>106</v>
      </c>
      <c r="D107" s="67">
        <v>89</v>
      </c>
    </row>
    <row r="108" spans="1:4" x14ac:dyDescent="0.3">
      <c r="A108" s="67">
        <v>1004</v>
      </c>
      <c r="B108" s="21">
        <v>46027</v>
      </c>
      <c r="C108" s="67" t="s">
        <v>108</v>
      </c>
      <c r="D108" s="67">
        <v>59.99</v>
      </c>
    </row>
    <row r="109" spans="1:4" x14ac:dyDescent="0.3">
      <c r="A109" s="67">
        <v>1005</v>
      </c>
      <c r="B109" s="21">
        <v>46028</v>
      </c>
      <c r="C109" s="67" t="s">
        <v>106</v>
      </c>
      <c r="D109" s="67">
        <v>129</v>
      </c>
    </row>
    <row r="110" spans="1:4" x14ac:dyDescent="0.3">
      <c r="A110" s="67">
        <v>1006</v>
      </c>
      <c r="B110" s="21">
        <v>46028</v>
      </c>
      <c r="C110" s="67" t="s">
        <v>109</v>
      </c>
      <c r="D110" s="67">
        <v>24.99</v>
      </c>
    </row>
    <row r="111" spans="1:4" x14ac:dyDescent="0.3">
      <c r="A111" s="67">
        <v>1007</v>
      </c>
      <c r="B111" s="21">
        <v>46029</v>
      </c>
      <c r="C111" s="67" t="s">
        <v>107</v>
      </c>
      <c r="D111" s="67">
        <v>75</v>
      </c>
    </row>
    <row r="112" spans="1:4" x14ac:dyDescent="0.3">
      <c r="A112" s="67"/>
      <c r="B112" s="67"/>
      <c r="C112" s="67" t="s">
        <v>110</v>
      </c>
      <c r="D112" s="8">
        <v>3</v>
      </c>
    </row>
    <row r="114" spans="1:3" x14ac:dyDescent="0.3">
      <c r="A114" s="17" t="s">
        <v>111</v>
      </c>
    </row>
    <row r="115" spans="1:3" ht="140.4" x14ac:dyDescent="0.3">
      <c r="A115" s="5" t="s">
        <v>112</v>
      </c>
    </row>
    <row r="116" spans="1:3" x14ac:dyDescent="0.3">
      <c r="A116" s="13" t="s">
        <v>113</v>
      </c>
      <c r="B116" s="13" t="s">
        <v>87</v>
      </c>
      <c r="C116" s="13" t="s">
        <v>114</v>
      </c>
    </row>
    <row r="117" spans="1:3" x14ac:dyDescent="0.3">
      <c r="A117" s="67" t="s">
        <v>115</v>
      </c>
      <c r="B117" s="67" t="s">
        <v>116</v>
      </c>
      <c r="C117" s="11">
        <v>48000</v>
      </c>
    </row>
    <row r="118" spans="1:3" x14ac:dyDescent="0.3">
      <c r="A118" s="67" t="s">
        <v>117</v>
      </c>
      <c r="B118" s="67" t="s">
        <v>90</v>
      </c>
      <c r="C118" s="11">
        <v>52000</v>
      </c>
    </row>
    <row r="119" spans="1:3" x14ac:dyDescent="0.3">
      <c r="A119" s="67" t="s">
        <v>118</v>
      </c>
      <c r="B119" s="67" t="s">
        <v>119</v>
      </c>
      <c r="C119" s="11">
        <v>56000</v>
      </c>
    </row>
    <row r="120" spans="1:3" x14ac:dyDescent="0.3">
      <c r="A120" s="67" t="s">
        <v>120</v>
      </c>
      <c r="B120" s="67" t="s">
        <v>92</v>
      </c>
      <c r="C120" s="11">
        <v>59000</v>
      </c>
    </row>
    <row r="121" spans="1:3" x14ac:dyDescent="0.3">
      <c r="A121" s="67" t="s">
        <v>121</v>
      </c>
      <c r="B121" s="67" t="s">
        <v>96</v>
      </c>
      <c r="C121" s="11">
        <v>62000</v>
      </c>
    </row>
    <row r="122" spans="1:3" x14ac:dyDescent="0.3">
      <c r="A122" s="67" t="s">
        <v>122</v>
      </c>
      <c r="B122" s="67" t="s">
        <v>123</v>
      </c>
      <c r="C122" s="11">
        <v>68000</v>
      </c>
    </row>
    <row r="123" spans="1:3" x14ac:dyDescent="0.3">
      <c r="A123" s="67" t="s">
        <v>124</v>
      </c>
      <c r="B123" s="67" t="s">
        <v>46</v>
      </c>
      <c r="C123" s="11">
        <v>74000</v>
      </c>
    </row>
    <row r="124" spans="1:3" x14ac:dyDescent="0.3">
      <c r="A124" s="67" t="s">
        <v>125</v>
      </c>
      <c r="B124" s="67" t="s">
        <v>126</v>
      </c>
      <c r="C124" s="11">
        <v>150000</v>
      </c>
    </row>
    <row r="125" spans="1:3" x14ac:dyDescent="0.3">
      <c r="A125" s="67" t="s">
        <v>127</v>
      </c>
      <c r="B125" s="12">
        <f>MEDIAN(C117:C124)</f>
        <v>60500</v>
      </c>
      <c r="C125" s="67"/>
    </row>
    <row r="126" spans="1:3" x14ac:dyDescent="0.3">
      <c r="A126" s="67" t="s">
        <v>128</v>
      </c>
      <c r="B126" s="67" t="s">
        <v>129</v>
      </c>
      <c r="C126" s="67"/>
    </row>
    <row r="127" spans="1:3" x14ac:dyDescent="0.3">
      <c r="A127" s="67"/>
    </row>
    <row r="128" spans="1:3" x14ac:dyDescent="0.3">
      <c r="A128" s="22" t="s">
        <v>130</v>
      </c>
    </row>
    <row r="129" spans="1:4" ht="202.8" x14ac:dyDescent="0.3">
      <c r="A129" s="67" t="s">
        <v>131</v>
      </c>
    </row>
    <row r="130" spans="1:4" x14ac:dyDescent="0.3">
      <c r="A130" s="67"/>
    </row>
    <row r="131" spans="1:4" x14ac:dyDescent="0.3">
      <c r="A131" s="13" t="s">
        <v>132</v>
      </c>
      <c r="B131" s="67"/>
      <c r="C131" s="67"/>
    </row>
    <row r="132" spans="1:4" x14ac:dyDescent="0.3">
      <c r="A132" s="23">
        <v>8.2500000000000004E-2</v>
      </c>
      <c r="B132" s="67"/>
      <c r="C132" s="67"/>
    </row>
    <row r="133" spans="1:4" x14ac:dyDescent="0.3">
      <c r="A133" s="67"/>
      <c r="B133" s="67"/>
      <c r="C133" s="67"/>
    </row>
    <row r="134" spans="1:4" x14ac:dyDescent="0.3">
      <c r="A134" s="13" t="s">
        <v>46</v>
      </c>
      <c r="B134" s="13" t="s">
        <v>9</v>
      </c>
      <c r="C134" s="13" t="s">
        <v>138</v>
      </c>
      <c r="D134" s="13" t="s">
        <v>137</v>
      </c>
    </row>
    <row r="135" spans="1:4" x14ac:dyDescent="0.3">
      <c r="A135" s="67" t="s">
        <v>13</v>
      </c>
      <c r="B135" s="67">
        <v>24.99</v>
      </c>
      <c r="C135" s="8">
        <f>B135*(1+A132)</f>
        <v>27.051674999999999</v>
      </c>
      <c r="D135" s="8">
        <f>B135*(1+$A$132)</f>
        <v>27.051674999999999</v>
      </c>
    </row>
    <row r="136" spans="1:4" x14ac:dyDescent="0.3">
      <c r="A136" s="67" t="s">
        <v>133</v>
      </c>
      <c r="B136" s="67">
        <v>15.5</v>
      </c>
      <c r="C136" s="8">
        <f>B136*(1+A133)</f>
        <v>15.5</v>
      </c>
      <c r="D136" s="8">
        <f t="shared" ref="D136:D139" si="4">B136*(1+$A$132)</f>
        <v>16.778749999999999</v>
      </c>
    </row>
    <row r="137" spans="1:4" x14ac:dyDescent="0.3">
      <c r="A137" s="67" t="s">
        <v>134</v>
      </c>
      <c r="B137" s="67">
        <v>89</v>
      </c>
      <c r="C137" s="8" t="e">
        <f>B137*(1+A134)</f>
        <v>#VALUE!</v>
      </c>
      <c r="D137" s="8">
        <f t="shared" si="4"/>
        <v>96.342500000000001</v>
      </c>
    </row>
    <row r="138" spans="1:4" x14ac:dyDescent="0.3">
      <c r="A138" s="67" t="s">
        <v>135</v>
      </c>
      <c r="B138" s="67">
        <v>5.25</v>
      </c>
      <c r="C138" s="8" t="e">
        <f t="shared" ref="C138:C139" si="5">B138*(1+A135)</f>
        <v>#VALUE!</v>
      </c>
      <c r="D138" s="8">
        <f t="shared" si="4"/>
        <v>5.6831250000000004</v>
      </c>
    </row>
    <row r="139" spans="1:4" x14ac:dyDescent="0.3">
      <c r="A139" s="67" t="s">
        <v>136</v>
      </c>
      <c r="B139" s="67">
        <v>12.75</v>
      </c>
      <c r="C139" s="8" t="e">
        <f t="shared" si="5"/>
        <v>#VALUE!</v>
      </c>
      <c r="D139" s="8">
        <f t="shared" si="4"/>
        <v>13.801875000000001</v>
      </c>
    </row>
    <row r="140" spans="1:4" x14ac:dyDescent="0.3">
      <c r="A140" s="67"/>
    </row>
    <row r="141" spans="1:4" x14ac:dyDescent="0.3">
      <c r="A141" s="17" t="s">
        <v>139</v>
      </c>
    </row>
    <row r="142" spans="1:4" ht="93.6" x14ac:dyDescent="0.3">
      <c r="A142" s="67" t="s">
        <v>140</v>
      </c>
    </row>
    <row r="143" spans="1:4" x14ac:dyDescent="0.3">
      <c r="A143" s="67"/>
    </row>
    <row r="144" spans="1:4" x14ac:dyDescent="0.3">
      <c r="A144" s="13" t="s">
        <v>87</v>
      </c>
      <c r="B144" s="13" t="s">
        <v>141</v>
      </c>
      <c r="C144" s="13" t="s">
        <v>142</v>
      </c>
    </row>
    <row r="145" spans="1:3" x14ac:dyDescent="0.3">
      <c r="A145" s="67" t="s">
        <v>119</v>
      </c>
      <c r="B145" s="24">
        <v>150000</v>
      </c>
      <c r="C145" s="25">
        <f>B145/$B$150</f>
        <v>0.15</v>
      </c>
    </row>
    <row r="146" spans="1:3" x14ac:dyDescent="0.3">
      <c r="A146" s="67" t="s">
        <v>96</v>
      </c>
      <c r="B146" s="24">
        <v>400000</v>
      </c>
      <c r="C146" s="25">
        <f>B146/$B$150</f>
        <v>0.4</v>
      </c>
    </row>
    <row r="147" spans="1:3" x14ac:dyDescent="0.3">
      <c r="A147" s="67" t="s">
        <v>90</v>
      </c>
      <c r="B147" s="24">
        <v>250000</v>
      </c>
      <c r="C147" s="25">
        <f>B147/$B$150</f>
        <v>0.25</v>
      </c>
    </row>
    <row r="148" spans="1:3" x14ac:dyDescent="0.3">
      <c r="A148" s="67" t="s">
        <v>143</v>
      </c>
      <c r="B148" s="24">
        <v>180000</v>
      </c>
      <c r="C148" s="25">
        <f>B148/$B$150</f>
        <v>0.18</v>
      </c>
    </row>
    <row r="149" spans="1:3" x14ac:dyDescent="0.3">
      <c r="A149" s="67" t="s">
        <v>116</v>
      </c>
      <c r="B149" s="24">
        <v>20000</v>
      </c>
      <c r="C149" s="25">
        <f>B149/$B$150</f>
        <v>0.02</v>
      </c>
    </row>
    <row r="150" spans="1:3" x14ac:dyDescent="0.3">
      <c r="A150" s="67" t="s">
        <v>144</v>
      </c>
      <c r="B150" s="26">
        <f>SUM(B145:B149)</f>
        <v>1000000</v>
      </c>
      <c r="C150" s="18"/>
    </row>
    <row r="151" spans="1:3" x14ac:dyDescent="0.3">
      <c r="A151" s="67"/>
      <c r="B151" s="67"/>
    </row>
    <row r="152" spans="1:3" x14ac:dyDescent="0.3">
      <c r="A152" s="22" t="s">
        <v>145</v>
      </c>
      <c r="B152" s="67"/>
    </row>
    <row r="153" spans="1:3" ht="156" x14ac:dyDescent="0.3">
      <c r="A153" s="67" t="s">
        <v>146</v>
      </c>
      <c r="B153" s="67"/>
    </row>
    <row r="154" spans="1:3" x14ac:dyDescent="0.3">
      <c r="A154" s="67" t="s">
        <v>147</v>
      </c>
      <c r="B154" s="67" t="s">
        <v>148</v>
      </c>
      <c r="C154" s="8" t="str">
        <f>_xlfn.CONCAT(A154," ",B154)</f>
        <v>John Doe</v>
      </c>
    </row>
    <row r="155" spans="1:3" x14ac:dyDescent="0.3">
      <c r="A155" s="67" t="s">
        <v>149</v>
      </c>
      <c r="B155" s="67" t="s">
        <v>150</v>
      </c>
      <c r="C155" s="8" t="str">
        <f t="shared" ref="C155:C161" si="6">_xlfn.CONCAT(A155," ",B155)</f>
        <v>Nicole Rogers</v>
      </c>
    </row>
    <row r="156" spans="1:3" x14ac:dyDescent="0.3">
      <c r="A156" s="67" t="s">
        <v>151</v>
      </c>
      <c r="B156" s="67" t="s">
        <v>152</v>
      </c>
      <c r="C156" s="8" t="str">
        <f t="shared" si="6"/>
        <v>Liam Simpson</v>
      </c>
    </row>
    <row r="157" spans="1:3" x14ac:dyDescent="0.3">
      <c r="A157" s="67" t="s">
        <v>153</v>
      </c>
      <c r="B157" s="67" t="s">
        <v>154</v>
      </c>
      <c r="C157" s="8" t="str">
        <f t="shared" si="6"/>
        <v>Peter Stein</v>
      </c>
    </row>
    <row r="158" spans="1:3" x14ac:dyDescent="0.3">
      <c r="A158" s="67" t="s">
        <v>155</v>
      </c>
      <c r="B158" s="67" t="s">
        <v>156</v>
      </c>
      <c r="C158" s="8" t="str">
        <f t="shared" si="6"/>
        <v>Anthony Newton</v>
      </c>
    </row>
    <row r="159" spans="1:3" x14ac:dyDescent="0.3">
      <c r="A159" s="67" t="s">
        <v>157</v>
      </c>
      <c r="B159" s="67" t="s">
        <v>158</v>
      </c>
      <c r="C159" s="8" t="str">
        <f t="shared" si="6"/>
        <v>Lydia Ross</v>
      </c>
    </row>
    <row r="160" spans="1:3" x14ac:dyDescent="0.3">
      <c r="A160" s="67" t="s">
        <v>159</v>
      </c>
      <c r="B160" s="67" t="s">
        <v>160</v>
      </c>
      <c r="C160" s="8" t="str">
        <f t="shared" si="6"/>
        <v>Emmy Watts</v>
      </c>
    </row>
    <row r="161" spans="1:4" x14ac:dyDescent="0.3">
      <c r="A161" s="67" t="s">
        <v>161</v>
      </c>
      <c r="B161" s="67" t="s">
        <v>162</v>
      </c>
      <c r="C161" s="8" t="str">
        <f t="shared" si="6"/>
        <v>David Fraser</v>
      </c>
    </row>
    <row r="162" spans="1:4" x14ac:dyDescent="0.3">
      <c r="A162" s="67"/>
    </row>
    <row r="163" spans="1:4" x14ac:dyDescent="0.3">
      <c r="A163" s="22" t="s">
        <v>164</v>
      </c>
    </row>
    <row r="164" spans="1:4" x14ac:dyDescent="0.3">
      <c r="A164" s="67"/>
    </row>
    <row r="165" spans="1:4" x14ac:dyDescent="0.3">
      <c r="A165" s="67" t="s">
        <v>163</v>
      </c>
    </row>
    <row r="166" spans="1:4" x14ac:dyDescent="0.3">
      <c r="A166" s="67"/>
    </row>
    <row r="167" spans="1:4" ht="78" x14ac:dyDescent="0.3">
      <c r="A167" s="67" t="s">
        <v>165</v>
      </c>
    </row>
    <row r="168" spans="1:4" x14ac:dyDescent="0.3">
      <c r="A168" s="67"/>
    </row>
    <row r="169" spans="1:4" x14ac:dyDescent="0.3">
      <c r="A169" s="13" t="s">
        <v>166</v>
      </c>
      <c r="B169" s="27" t="s">
        <v>198</v>
      </c>
      <c r="C169" s="13" t="s">
        <v>167</v>
      </c>
      <c r="D169" s="27" t="s">
        <v>199</v>
      </c>
    </row>
    <row r="170" spans="1:4" x14ac:dyDescent="0.3">
      <c r="A170" s="67" t="s">
        <v>168</v>
      </c>
      <c r="B170" s="8" t="s">
        <v>169</v>
      </c>
      <c r="C170" s="67" t="s">
        <v>170</v>
      </c>
      <c r="D170" s="8" t="s">
        <v>170</v>
      </c>
    </row>
    <row r="171" spans="1:4" x14ac:dyDescent="0.3">
      <c r="A171" s="67" t="s">
        <v>171</v>
      </c>
      <c r="B171" s="8" t="s">
        <v>172</v>
      </c>
      <c r="C171" s="67" t="s">
        <v>173</v>
      </c>
      <c r="D171" s="8" t="s">
        <v>173</v>
      </c>
    </row>
    <row r="172" spans="1:4" ht="31.2" x14ac:dyDescent="0.3">
      <c r="A172" s="67" t="s">
        <v>174</v>
      </c>
      <c r="B172" s="8" t="s">
        <v>175</v>
      </c>
      <c r="C172" s="67" t="s">
        <v>176</v>
      </c>
      <c r="D172" s="8" t="s">
        <v>176</v>
      </c>
    </row>
    <row r="173" spans="1:4" x14ac:dyDescent="0.3">
      <c r="A173" s="67" t="s">
        <v>177</v>
      </c>
      <c r="B173" s="8" t="s">
        <v>178</v>
      </c>
      <c r="C173" s="67" t="s">
        <v>179</v>
      </c>
      <c r="D173" s="8" t="s">
        <v>179</v>
      </c>
    </row>
    <row r="174" spans="1:4" x14ac:dyDescent="0.3">
      <c r="A174" s="67" t="s">
        <v>180</v>
      </c>
      <c r="B174" s="8" t="s">
        <v>181</v>
      </c>
      <c r="C174" s="67" t="s">
        <v>182</v>
      </c>
      <c r="D174" s="8" t="s">
        <v>182</v>
      </c>
    </row>
    <row r="175" spans="1:4" ht="31.2" x14ac:dyDescent="0.3">
      <c r="A175" s="67" t="s">
        <v>183</v>
      </c>
      <c r="B175" s="8" t="s">
        <v>184</v>
      </c>
      <c r="C175" s="67" t="s">
        <v>185</v>
      </c>
      <c r="D175" s="8" t="s">
        <v>185</v>
      </c>
    </row>
    <row r="176" spans="1:4" x14ac:dyDescent="0.3">
      <c r="A176" s="67" t="s">
        <v>186</v>
      </c>
      <c r="B176" s="8" t="s">
        <v>187</v>
      </c>
      <c r="C176" s="67" t="s">
        <v>188</v>
      </c>
      <c r="D176" s="8" t="s">
        <v>188</v>
      </c>
    </row>
    <row r="177" spans="1:4" ht="31.2" x14ac:dyDescent="0.3">
      <c r="A177" s="67" t="s">
        <v>189</v>
      </c>
      <c r="B177" s="8" t="s">
        <v>190</v>
      </c>
      <c r="C177" s="67" t="s">
        <v>191</v>
      </c>
      <c r="D177" s="8" t="s">
        <v>191</v>
      </c>
    </row>
    <row r="178" spans="1:4" x14ac:dyDescent="0.3">
      <c r="A178" s="67" t="s">
        <v>192</v>
      </c>
      <c r="B178" s="8" t="s">
        <v>193</v>
      </c>
      <c r="C178" s="67" t="s">
        <v>194</v>
      </c>
      <c r="D178" s="8" t="s">
        <v>194</v>
      </c>
    </row>
    <row r="179" spans="1:4" x14ac:dyDescent="0.3">
      <c r="A179" s="67" t="s">
        <v>195</v>
      </c>
      <c r="B179" s="8" t="s">
        <v>196</v>
      </c>
      <c r="C179" s="67" t="s">
        <v>197</v>
      </c>
      <c r="D179" s="8" t="s">
        <v>197</v>
      </c>
    </row>
    <row r="181" spans="1:4" x14ac:dyDescent="0.3">
      <c r="A181" s="22" t="s">
        <v>200</v>
      </c>
    </row>
    <row r="182" spans="1:4" ht="109.2" x14ac:dyDescent="0.3">
      <c r="A182" s="5" t="s">
        <v>201</v>
      </c>
    </row>
    <row r="183" spans="1:4" x14ac:dyDescent="0.3">
      <c r="A183" s="10" t="s">
        <v>202</v>
      </c>
      <c r="B183" s="10" t="s">
        <v>203</v>
      </c>
    </row>
    <row r="184" spans="1:4" x14ac:dyDescent="0.3">
      <c r="A184" s="67" t="s">
        <v>204</v>
      </c>
      <c r="B184" s="28" t="str">
        <f>LEFT(A184,3)</f>
        <v>FIN</v>
      </c>
    </row>
    <row r="185" spans="1:4" x14ac:dyDescent="0.3">
      <c r="A185" s="67" t="s">
        <v>205</v>
      </c>
      <c r="B185" s="28" t="str">
        <f t="shared" ref="B185:B190" si="7">LEFT(A185,3)</f>
        <v>MKT</v>
      </c>
    </row>
    <row r="186" spans="1:4" x14ac:dyDescent="0.3">
      <c r="A186" s="67" t="s">
        <v>206</v>
      </c>
      <c r="B186" s="28" t="str">
        <f t="shared" si="7"/>
        <v>OPS</v>
      </c>
    </row>
    <row r="187" spans="1:4" x14ac:dyDescent="0.3">
      <c r="A187" s="67" t="s">
        <v>207</v>
      </c>
      <c r="B187" s="28" t="str">
        <f t="shared" si="7"/>
        <v>HRD</v>
      </c>
    </row>
    <row r="188" spans="1:4" x14ac:dyDescent="0.3">
      <c r="A188" s="67" t="s">
        <v>208</v>
      </c>
      <c r="B188" s="28" t="str">
        <f t="shared" si="7"/>
        <v>ITS</v>
      </c>
    </row>
    <row r="189" spans="1:4" x14ac:dyDescent="0.3">
      <c r="A189" s="67" t="s">
        <v>209</v>
      </c>
      <c r="B189" s="28" t="str">
        <f t="shared" si="7"/>
        <v>SLS</v>
      </c>
    </row>
    <row r="190" spans="1:4" x14ac:dyDescent="0.3">
      <c r="A190" s="67" t="s">
        <v>210</v>
      </c>
      <c r="B190" s="28" t="str">
        <f t="shared" si="7"/>
        <v>ADM</v>
      </c>
    </row>
    <row r="192" spans="1:4" x14ac:dyDescent="0.3">
      <c r="A192" s="22" t="s">
        <v>217</v>
      </c>
    </row>
    <row r="193" spans="1:5" x14ac:dyDescent="0.3">
      <c r="A193" s="3" t="s">
        <v>216</v>
      </c>
    </row>
    <row r="194" spans="1:5" ht="31.2" x14ac:dyDescent="0.3">
      <c r="A194" s="5" t="s">
        <v>218</v>
      </c>
    </row>
    <row r="195" spans="1:5" x14ac:dyDescent="0.3">
      <c r="A195" s="67" t="s">
        <v>219</v>
      </c>
      <c r="B195" s="67" t="s">
        <v>220</v>
      </c>
      <c r="C195" s="67" t="s">
        <v>221</v>
      </c>
    </row>
    <row r="196" spans="1:5" x14ac:dyDescent="0.3">
      <c r="A196" s="67" t="s">
        <v>222</v>
      </c>
      <c r="B196" s="67">
        <v>96</v>
      </c>
      <c r="C196" s="28" t="str">
        <f>IF(B196&gt;60,"Pass","Fail")</f>
        <v>Pass</v>
      </c>
    </row>
    <row r="197" spans="1:5" x14ac:dyDescent="0.3">
      <c r="A197" s="67" t="s">
        <v>223</v>
      </c>
      <c r="B197" s="67">
        <v>43</v>
      </c>
      <c r="C197" s="28" t="str">
        <f t="shared" ref="C197:C200" si="8">IF(B197&gt;60,"Pass","Fail")</f>
        <v>Fail</v>
      </c>
    </row>
    <row r="198" spans="1:5" x14ac:dyDescent="0.3">
      <c r="A198" s="67" t="s">
        <v>224</v>
      </c>
      <c r="B198" s="67">
        <v>20</v>
      </c>
      <c r="C198" s="28" t="str">
        <f t="shared" si="8"/>
        <v>Fail</v>
      </c>
    </row>
    <row r="199" spans="1:5" x14ac:dyDescent="0.3">
      <c r="A199" s="67" t="s">
        <v>225</v>
      </c>
      <c r="B199" s="67">
        <v>77</v>
      </c>
      <c r="C199" s="28" t="str">
        <f t="shared" si="8"/>
        <v>Pass</v>
      </c>
    </row>
    <row r="200" spans="1:5" x14ac:dyDescent="0.3">
      <c r="A200" s="67" t="s">
        <v>226</v>
      </c>
      <c r="B200" s="67">
        <v>76</v>
      </c>
      <c r="C200" s="28" t="str">
        <f t="shared" si="8"/>
        <v>Pass</v>
      </c>
    </row>
    <row r="202" spans="1:5" ht="93.6" x14ac:dyDescent="0.3">
      <c r="A202" s="5" t="s">
        <v>227</v>
      </c>
    </row>
    <row r="203" spans="1:5" x14ac:dyDescent="0.3">
      <c r="A203" s="67" t="s">
        <v>8</v>
      </c>
      <c r="B203" s="67"/>
      <c r="C203" s="67" t="s">
        <v>228</v>
      </c>
      <c r="D203" s="67" t="s">
        <v>229</v>
      </c>
    </row>
    <row r="204" spans="1:5" x14ac:dyDescent="0.3">
      <c r="A204" s="67">
        <v>0</v>
      </c>
      <c r="B204" s="67"/>
      <c r="C204" s="67" t="s">
        <v>230</v>
      </c>
      <c r="D204" s="8" t="str">
        <f>IF(OR(AND(A2&gt;15,A2&lt;30),A2 &gt; 55),"Yes","No")</f>
        <v>No</v>
      </c>
      <c r="E204" s="3" t="str">
        <f ca="1">_xlfn.FORMULATEXT(D204)</f>
        <v>=IF(OR(AND(A2&gt;15,A2&lt;30),A2 &gt; 55),"Yes","No")</v>
      </c>
    </row>
    <row r="205" spans="1:5" x14ac:dyDescent="0.3">
      <c r="A205" s="67">
        <v>15</v>
      </c>
      <c r="B205" s="67"/>
      <c r="C205" s="67" t="s">
        <v>230</v>
      </c>
      <c r="D205" s="8" t="str">
        <f t="shared" ref="D205:D210" si="9">IF(OR(AND(A3&gt;15,A3&lt;30),A3 &gt; 55),"Yes","No")</f>
        <v>No</v>
      </c>
    </row>
    <row r="206" spans="1:5" x14ac:dyDescent="0.3">
      <c r="A206" s="67">
        <v>16</v>
      </c>
      <c r="B206" s="67"/>
      <c r="C206" s="67" t="s">
        <v>231</v>
      </c>
      <c r="D206" s="8" t="str">
        <f t="shared" si="9"/>
        <v>No</v>
      </c>
    </row>
    <row r="207" spans="1:5" x14ac:dyDescent="0.3">
      <c r="A207" s="67">
        <v>29</v>
      </c>
      <c r="B207" s="67"/>
      <c r="C207" s="67" t="s">
        <v>231</v>
      </c>
      <c r="D207" s="8" t="str">
        <f t="shared" si="9"/>
        <v>No</v>
      </c>
    </row>
    <row r="208" spans="1:5" x14ac:dyDescent="0.3">
      <c r="A208" s="67">
        <v>30</v>
      </c>
      <c r="B208" s="67"/>
      <c r="C208" s="67" t="s">
        <v>230</v>
      </c>
      <c r="D208" s="8" t="str">
        <f t="shared" si="9"/>
        <v>Yes</v>
      </c>
    </row>
    <row r="209" spans="1:5" x14ac:dyDescent="0.3">
      <c r="A209" s="67">
        <v>55</v>
      </c>
      <c r="B209" s="67"/>
      <c r="C209" s="67" t="s">
        <v>230</v>
      </c>
      <c r="D209" s="8" t="str">
        <f t="shared" si="9"/>
        <v>No</v>
      </c>
    </row>
    <row r="210" spans="1:5" x14ac:dyDescent="0.3">
      <c r="A210" s="67">
        <v>56</v>
      </c>
      <c r="B210" s="67"/>
      <c r="C210" s="67" t="s">
        <v>231</v>
      </c>
      <c r="D210" s="8" t="str">
        <f t="shared" si="9"/>
        <v>Yes</v>
      </c>
    </row>
    <row r="211" spans="1:5" x14ac:dyDescent="0.3">
      <c r="A211" s="5"/>
    </row>
    <row r="212" spans="1:5" x14ac:dyDescent="0.3">
      <c r="A212" s="22" t="s">
        <v>233</v>
      </c>
    </row>
    <row r="213" spans="1:5" x14ac:dyDescent="0.3">
      <c r="A213" s="5" t="s">
        <v>232</v>
      </c>
    </row>
    <row r="214" spans="1:5" ht="109.2" x14ac:dyDescent="0.3">
      <c r="A214" s="5" t="s">
        <v>234</v>
      </c>
    </row>
    <row r="215" spans="1:5" x14ac:dyDescent="0.3">
      <c r="A215" s="10" t="s">
        <v>235</v>
      </c>
      <c r="B215" s="10" t="s">
        <v>236</v>
      </c>
      <c r="C215" s="10" t="s">
        <v>237</v>
      </c>
      <c r="D215" s="10" t="s">
        <v>238</v>
      </c>
      <c r="E215" s="10" t="s">
        <v>251</v>
      </c>
    </row>
    <row r="216" spans="1:5" x14ac:dyDescent="0.3">
      <c r="A216" s="67" t="s">
        <v>239</v>
      </c>
      <c r="B216" s="67" t="s">
        <v>240</v>
      </c>
      <c r="C216" s="21">
        <v>35594</v>
      </c>
      <c r="D216" s="8">
        <f ca="1">DATEDIF(C216,TODAY(),"Y")</f>
        <v>29</v>
      </c>
      <c r="E216" s="8">
        <f ca="1">DATEDIF(C216,TODAY(),"M")</f>
        <v>348</v>
      </c>
    </row>
    <row r="217" spans="1:5" x14ac:dyDescent="0.3">
      <c r="A217" s="67" t="s">
        <v>241</v>
      </c>
      <c r="B217" s="67" t="s">
        <v>242</v>
      </c>
      <c r="C217" s="21">
        <v>33768</v>
      </c>
      <c r="D217" s="8">
        <f t="shared" ref="D217:D221" ca="1" si="10">DATEDIF(C217,TODAY(),"Y")</f>
        <v>34</v>
      </c>
      <c r="E217" s="8">
        <f t="shared" ref="E217:E221" ca="1" si="11">DATEDIF(C217,TODAY(),"M")</f>
        <v>408</v>
      </c>
    </row>
    <row r="218" spans="1:5" x14ac:dyDescent="0.3">
      <c r="A218" s="67" t="s">
        <v>243</v>
      </c>
      <c r="B218" s="67" t="s">
        <v>244</v>
      </c>
      <c r="C218" s="21">
        <v>31211</v>
      </c>
      <c r="D218" s="8">
        <f t="shared" ca="1" si="10"/>
        <v>41</v>
      </c>
      <c r="E218" s="8">
        <f t="shared" ca="1" si="11"/>
        <v>492</v>
      </c>
    </row>
    <row r="219" spans="1:5" x14ac:dyDescent="0.3">
      <c r="A219" s="67" t="s">
        <v>245</v>
      </c>
      <c r="B219" s="67" t="s">
        <v>246</v>
      </c>
      <c r="C219" s="21">
        <v>38151</v>
      </c>
      <c r="D219" s="8">
        <f t="shared" ca="1" si="10"/>
        <v>22</v>
      </c>
      <c r="E219" s="8">
        <f t="shared" ca="1" si="11"/>
        <v>264</v>
      </c>
    </row>
    <row r="220" spans="1:5" x14ac:dyDescent="0.3">
      <c r="A220" s="67" t="s">
        <v>247</v>
      </c>
      <c r="B220" s="67" t="s">
        <v>248</v>
      </c>
      <c r="C220" s="21">
        <v>25002</v>
      </c>
      <c r="D220" s="8">
        <f t="shared" ca="1" si="10"/>
        <v>58</v>
      </c>
      <c r="E220" s="8">
        <f t="shared" ca="1" si="11"/>
        <v>696</v>
      </c>
    </row>
    <row r="221" spans="1:5" x14ac:dyDescent="0.3">
      <c r="A221" s="67" t="s">
        <v>249</v>
      </c>
      <c r="B221" s="67" t="s">
        <v>250</v>
      </c>
      <c r="C221" s="21">
        <v>29750</v>
      </c>
      <c r="D221" s="8">
        <f t="shared" ca="1" si="10"/>
        <v>45</v>
      </c>
      <c r="E221" s="8">
        <f t="shared" ca="1" si="11"/>
        <v>540</v>
      </c>
    </row>
    <row r="223" spans="1:5" x14ac:dyDescent="0.3">
      <c r="A223" s="22" t="s">
        <v>252</v>
      </c>
    </row>
    <row r="224" spans="1:5" ht="78" x14ac:dyDescent="0.3">
      <c r="A224" s="5" t="s">
        <v>253</v>
      </c>
    </row>
    <row r="225" spans="1:3" ht="109.2" x14ac:dyDescent="0.3">
      <c r="A225" s="5" t="s">
        <v>254</v>
      </c>
    </row>
    <row r="226" spans="1:3" x14ac:dyDescent="0.3">
      <c r="A226" s="13" t="s">
        <v>255</v>
      </c>
      <c r="B226" s="13" t="s">
        <v>256</v>
      </c>
      <c r="C226" s="13" t="s">
        <v>47</v>
      </c>
    </row>
    <row r="227" spans="1:3" x14ac:dyDescent="0.3">
      <c r="A227" s="67" t="s">
        <v>257</v>
      </c>
      <c r="B227" s="67" t="s">
        <v>258</v>
      </c>
      <c r="C227" s="67" t="s">
        <v>89</v>
      </c>
    </row>
    <row r="228" spans="1:3" x14ac:dyDescent="0.3">
      <c r="A228" s="67" t="s">
        <v>259</v>
      </c>
      <c r="B228" s="67" t="s">
        <v>260</v>
      </c>
      <c r="C228" s="67" t="s">
        <v>89</v>
      </c>
    </row>
    <row r="229" spans="1:3" x14ac:dyDescent="0.3">
      <c r="A229" s="67" t="s">
        <v>261</v>
      </c>
      <c r="B229" s="67" t="s">
        <v>262</v>
      </c>
      <c r="C229" s="67" t="s">
        <v>263</v>
      </c>
    </row>
    <row r="230" spans="1:3" x14ac:dyDescent="0.3">
      <c r="A230" s="67" t="s">
        <v>264</v>
      </c>
      <c r="B230" s="67" t="s">
        <v>265</v>
      </c>
      <c r="C230" s="67" t="s">
        <v>89</v>
      </c>
    </row>
    <row r="231" spans="1:3" x14ac:dyDescent="0.3">
      <c r="A231" s="67" t="s">
        <v>266</v>
      </c>
      <c r="B231" s="67" t="s">
        <v>267</v>
      </c>
      <c r="C231" s="67" t="s">
        <v>89</v>
      </c>
    </row>
    <row r="232" spans="1:3" x14ac:dyDescent="0.3">
      <c r="A232" s="67" t="s">
        <v>268</v>
      </c>
      <c r="B232" s="67" t="s">
        <v>269</v>
      </c>
      <c r="C232" s="67" t="s">
        <v>263</v>
      </c>
    </row>
    <row r="233" spans="1:3" x14ac:dyDescent="0.3">
      <c r="A233" s="67" t="s">
        <v>270</v>
      </c>
      <c r="B233" s="67" t="s">
        <v>271</v>
      </c>
      <c r="C233" s="67" t="s">
        <v>89</v>
      </c>
    </row>
    <row r="234" spans="1:3" x14ac:dyDescent="0.3">
      <c r="A234" s="67"/>
      <c r="B234" s="67"/>
      <c r="C234" s="67"/>
    </row>
    <row r="235" spans="1:3" x14ac:dyDescent="0.3">
      <c r="A235" s="18" t="s">
        <v>272</v>
      </c>
      <c r="B235" s="67" t="s">
        <v>261</v>
      </c>
      <c r="C235" s="67"/>
    </row>
    <row r="236" spans="1:3" x14ac:dyDescent="0.3">
      <c r="A236" s="18" t="s">
        <v>47</v>
      </c>
      <c r="B236" s="8" t="str">
        <f>_xlfn.XLOOKUP(B235,A227:A233,C227:C233,0)</f>
        <v>Office equipment</v>
      </c>
      <c r="C236" s="71" t="str">
        <f ca="1">_xlfn.FORMULATEXT(B236)</f>
        <v>=XLOOKUP(B235,A227:A233,C227:C233,0)</v>
      </c>
    </row>
    <row r="237" spans="1:3" x14ac:dyDescent="0.3">
      <c r="C237" s="71"/>
    </row>
    <row r="238" spans="1:3" x14ac:dyDescent="0.3">
      <c r="A238" s="22" t="s">
        <v>274</v>
      </c>
    </row>
    <row r="239" spans="1:3" ht="78" x14ac:dyDescent="0.3">
      <c r="A239" s="5" t="s">
        <v>273</v>
      </c>
    </row>
    <row r="241" spans="1:3" x14ac:dyDescent="0.3">
      <c r="A241" s="13" t="s">
        <v>202</v>
      </c>
      <c r="B241" s="13" t="s">
        <v>275</v>
      </c>
      <c r="C241" s="13" t="s">
        <v>276</v>
      </c>
    </row>
    <row r="242" spans="1:3" x14ac:dyDescent="0.3">
      <c r="A242" s="67" t="s">
        <v>277</v>
      </c>
      <c r="B242" s="67" t="s">
        <v>278</v>
      </c>
      <c r="C242" s="67">
        <v>342</v>
      </c>
    </row>
    <row r="243" spans="1:3" x14ac:dyDescent="0.3">
      <c r="A243" s="67" t="s">
        <v>279</v>
      </c>
      <c r="B243" s="67" t="s">
        <v>280</v>
      </c>
      <c r="C243" s="67">
        <v>128</v>
      </c>
    </row>
    <row r="244" spans="1:3" x14ac:dyDescent="0.3">
      <c r="A244" s="67" t="s">
        <v>281</v>
      </c>
      <c r="B244" s="67" t="s">
        <v>282</v>
      </c>
      <c r="C244" s="67">
        <v>56</v>
      </c>
    </row>
    <row r="245" spans="1:3" x14ac:dyDescent="0.3">
      <c r="A245" s="67" t="s">
        <v>283</v>
      </c>
      <c r="B245" s="67" t="s">
        <v>284</v>
      </c>
      <c r="C245" s="67">
        <v>89</v>
      </c>
    </row>
    <row r="246" spans="1:3" x14ac:dyDescent="0.3">
      <c r="A246" s="67" t="s">
        <v>285</v>
      </c>
      <c r="B246" s="67" t="s">
        <v>286</v>
      </c>
      <c r="C246" s="67">
        <v>203</v>
      </c>
    </row>
    <row r="247" spans="1:3" x14ac:dyDescent="0.3">
      <c r="A247" s="67" t="s">
        <v>287</v>
      </c>
      <c r="B247" s="67" t="s">
        <v>288</v>
      </c>
      <c r="C247" s="67">
        <v>74</v>
      </c>
    </row>
    <row r="248" spans="1:3" x14ac:dyDescent="0.3">
      <c r="A248" s="67" t="s">
        <v>289</v>
      </c>
      <c r="B248" s="67" t="s">
        <v>290</v>
      </c>
      <c r="C248" s="67">
        <v>165</v>
      </c>
    </row>
    <row r="249" spans="1:3" x14ac:dyDescent="0.3">
      <c r="A249" s="67"/>
      <c r="B249" s="67"/>
      <c r="C249" s="67"/>
    </row>
    <row r="250" spans="1:3" x14ac:dyDescent="0.3">
      <c r="A250" s="13" t="s">
        <v>202</v>
      </c>
      <c r="B250" s="13" t="s">
        <v>275</v>
      </c>
      <c r="C250" s="13" t="s">
        <v>291</v>
      </c>
    </row>
    <row r="251" spans="1:3" x14ac:dyDescent="0.3">
      <c r="A251" s="67" t="s">
        <v>283</v>
      </c>
      <c r="B251" s="67" t="s">
        <v>284</v>
      </c>
      <c r="C251" s="8">
        <f>_xlfn.XLOOKUP(A251,A$242:A$248,$C$242:$C$248,0)</f>
        <v>89</v>
      </c>
    </row>
    <row r="252" spans="1:3" x14ac:dyDescent="0.3">
      <c r="A252" s="67" t="s">
        <v>277</v>
      </c>
      <c r="B252" s="67" t="s">
        <v>278</v>
      </c>
      <c r="C252" s="8">
        <f t="shared" ref="C252:C254" si="12">_xlfn.XLOOKUP(A252,A$242:A$248,$C$242:$C$248,0)</f>
        <v>342</v>
      </c>
    </row>
    <row r="253" spans="1:3" x14ac:dyDescent="0.3">
      <c r="A253" s="67" t="s">
        <v>289</v>
      </c>
      <c r="B253" s="67" t="s">
        <v>290</v>
      </c>
      <c r="C253" s="8">
        <f t="shared" si="12"/>
        <v>165</v>
      </c>
    </row>
    <row r="254" spans="1:3" x14ac:dyDescent="0.3">
      <c r="A254" s="67" t="s">
        <v>285</v>
      </c>
      <c r="B254" s="67" t="s">
        <v>286</v>
      </c>
      <c r="C254" s="8">
        <f t="shared" si="12"/>
        <v>203</v>
      </c>
    </row>
    <row r="256" spans="1:3" x14ac:dyDescent="0.3">
      <c r="B256" s="75" t="str">
        <f ca="1">_xlfn.FORMULATEXT(C251)</f>
        <v>=XLOOKUP(A251,A$242:A$248,$C$242:$C$248,0)</v>
      </c>
      <c r="C256" s="75"/>
    </row>
    <row r="258" spans="1:4" x14ac:dyDescent="0.3">
      <c r="A258" s="22" t="s">
        <v>292</v>
      </c>
    </row>
    <row r="259" spans="1:4" x14ac:dyDescent="0.3">
      <c r="A259" s="3" t="s">
        <v>216</v>
      </c>
    </row>
    <row r="260" spans="1:4" ht="62.4" x14ac:dyDescent="0.3">
      <c r="A260" s="5" t="s">
        <v>293</v>
      </c>
    </row>
    <row r="261" spans="1:4" x14ac:dyDescent="0.3">
      <c r="A261" s="13" t="s">
        <v>113</v>
      </c>
      <c r="B261" s="13" t="s">
        <v>294</v>
      </c>
      <c r="C261" s="13" t="s">
        <v>295</v>
      </c>
      <c r="D261" s="13" t="s">
        <v>296</v>
      </c>
    </row>
    <row r="262" spans="1:4" x14ac:dyDescent="0.3">
      <c r="A262" s="67" t="s">
        <v>297</v>
      </c>
      <c r="B262" s="24">
        <v>52000</v>
      </c>
      <c r="C262" s="24">
        <v>50000</v>
      </c>
      <c r="D262" s="29">
        <f>IF(B262&gt;C262,B262*10%,0)</f>
        <v>5200</v>
      </c>
    </row>
    <row r="263" spans="1:4" x14ac:dyDescent="0.3">
      <c r="A263" s="67" t="s">
        <v>298</v>
      </c>
      <c r="B263" s="24">
        <v>48000</v>
      </c>
      <c r="C263" s="24">
        <v>50000</v>
      </c>
      <c r="D263" s="29">
        <f t="shared" ref="D263:D268" si="13">IF(B263&gt;C263,B263*10%,0)</f>
        <v>0</v>
      </c>
    </row>
    <row r="264" spans="1:4" x14ac:dyDescent="0.3">
      <c r="A264" s="67" t="s">
        <v>299</v>
      </c>
      <c r="B264" s="24">
        <v>50000</v>
      </c>
      <c r="C264" s="24">
        <v>50000</v>
      </c>
      <c r="D264" s="29">
        <f t="shared" si="13"/>
        <v>0</v>
      </c>
    </row>
    <row r="265" spans="1:4" x14ac:dyDescent="0.3">
      <c r="A265" s="67" t="s">
        <v>225</v>
      </c>
      <c r="B265" s="24">
        <v>61000</v>
      </c>
      <c r="C265" s="24">
        <v>60000</v>
      </c>
      <c r="D265" s="29">
        <f t="shared" si="13"/>
        <v>6100</v>
      </c>
    </row>
    <row r="266" spans="1:4" x14ac:dyDescent="0.3">
      <c r="A266" s="67" t="s">
        <v>300</v>
      </c>
      <c r="B266" s="24">
        <v>39900</v>
      </c>
      <c r="C266" s="24">
        <v>35000</v>
      </c>
      <c r="D266" s="29">
        <f t="shared" si="13"/>
        <v>3990</v>
      </c>
    </row>
    <row r="267" spans="1:4" x14ac:dyDescent="0.3">
      <c r="A267" s="67" t="s">
        <v>301</v>
      </c>
      <c r="B267" s="24">
        <v>27500</v>
      </c>
      <c r="C267" s="24">
        <v>30000</v>
      </c>
      <c r="D267" s="29">
        <f t="shared" si="13"/>
        <v>0</v>
      </c>
    </row>
    <row r="268" spans="1:4" x14ac:dyDescent="0.3">
      <c r="A268" s="67" t="s">
        <v>302</v>
      </c>
      <c r="B268" s="24">
        <v>74500</v>
      </c>
      <c r="C268" s="24">
        <v>70000</v>
      </c>
      <c r="D268" s="29">
        <f t="shared" si="13"/>
        <v>7450</v>
      </c>
    </row>
    <row r="269" spans="1:4" x14ac:dyDescent="0.3">
      <c r="D269" s="3" t="str">
        <f ca="1">_xlfn.FORMULATEXT(D262)</f>
        <v>=IF(B262&gt;C262,B262*10%,0)</v>
      </c>
    </row>
    <row r="270" spans="1:4" x14ac:dyDescent="0.3">
      <c r="A270" s="22" t="s">
        <v>303</v>
      </c>
    </row>
    <row r="271" spans="1:4" x14ac:dyDescent="0.3">
      <c r="A271" s="20" t="s">
        <v>216</v>
      </c>
    </row>
    <row r="272" spans="1:4" ht="78" x14ac:dyDescent="0.3">
      <c r="A272" s="5" t="s">
        <v>304</v>
      </c>
    </row>
    <row r="274" spans="1:4" x14ac:dyDescent="0.3">
      <c r="A274" s="13" t="s">
        <v>305</v>
      </c>
      <c r="B274" s="13" t="s">
        <v>306</v>
      </c>
      <c r="C274" s="13" t="s">
        <v>295</v>
      </c>
      <c r="D274" s="13" t="s">
        <v>307</v>
      </c>
    </row>
    <row r="275" spans="1:4" x14ac:dyDescent="0.3">
      <c r="A275" s="67" t="s">
        <v>297</v>
      </c>
      <c r="B275" s="24">
        <v>12500</v>
      </c>
      <c r="C275" s="24">
        <v>12000</v>
      </c>
      <c r="D275" s="8" t="str">
        <f>IF(B275&gt;=C275,"On Target","Below Target")</f>
        <v>On Target</v>
      </c>
    </row>
    <row r="276" spans="1:4" x14ac:dyDescent="0.3">
      <c r="A276" s="67" t="s">
        <v>298</v>
      </c>
      <c r="B276" s="24">
        <v>9800</v>
      </c>
      <c r="C276" s="24">
        <v>11000</v>
      </c>
      <c r="D276" s="8" t="str">
        <f t="shared" ref="D276:D281" si="14">IF(B276&gt;=C276,"On Target","Below Target")</f>
        <v>Below Target</v>
      </c>
    </row>
    <row r="277" spans="1:4" x14ac:dyDescent="0.3">
      <c r="A277" s="67" t="s">
        <v>299</v>
      </c>
      <c r="B277" s="24">
        <v>15000</v>
      </c>
      <c r="C277" s="24">
        <v>15000</v>
      </c>
      <c r="D277" s="8" t="str">
        <f t="shared" si="14"/>
        <v>On Target</v>
      </c>
    </row>
    <row r="278" spans="1:4" x14ac:dyDescent="0.3">
      <c r="A278" s="67" t="s">
        <v>225</v>
      </c>
      <c r="B278" s="24">
        <v>7200</v>
      </c>
      <c r="C278" s="24">
        <v>7000</v>
      </c>
      <c r="D278" s="8" t="str">
        <f t="shared" si="14"/>
        <v>On Target</v>
      </c>
    </row>
    <row r="279" spans="1:4" x14ac:dyDescent="0.3">
      <c r="A279" s="67" t="s">
        <v>300</v>
      </c>
      <c r="B279" s="24">
        <v>6400</v>
      </c>
      <c r="C279" s="24">
        <v>8000</v>
      </c>
      <c r="D279" s="8" t="str">
        <f t="shared" si="14"/>
        <v>Below Target</v>
      </c>
    </row>
    <row r="280" spans="1:4" x14ac:dyDescent="0.3">
      <c r="A280" s="67" t="s">
        <v>301</v>
      </c>
      <c r="B280" s="24">
        <v>18300</v>
      </c>
      <c r="C280" s="24">
        <v>17500</v>
      </c>
      <c r="D280" s="8" t="str">
        <f t="shared" si="14"/>
        <v>On Target</v>
      </c>
    </row>
    <row r="281" spans="1:4" x14ac:dyDescent="0.3">
      <c r="A281" s="67" t="s">
        <v>302</v>
      </c>
      <c r="B281" s="24">
        <v>10500</v>
      </c>
      <c r="C281" s="24">
        <v>10000</v>
      </c>
      <c r="D281" s="8" t="str">
        <f t="shared" si="14"/>
        <v>On Target</v>
      </c>
    </row>
    <row r="283" spans="1:4" x14ac:dyDescent="0.3">
      <c r="A283" s="22" t="s">
        <v>308</v>
      </c>
      <c r="D283" s="3" t="str">
        <f ca="1">_xlfn.FORMULATEXT(D275)</f>
        <v>=IF(B275&gt;=C275,"On Target","Below Target")</v>
      </c>
    </row>
    <row r="284" spans="1:4" x14ac:dyDescent="0.3">
      <c r="A284" s="5" t="s">
        <v>318</v>
      </c>
    </row>
    <row r="285" spans="1:4" x14ac:dyDescent="0.3">
      <c r="A285" s="5" t="s">
        <v>319</v>
      </c>
    </row>
    <row r="286" spans="1:4" x14ac:dyDescent="0.3">
      <c r="A286" s="5" t="s">
        <v>320</v>
      </c>
    </row>
    <row r="287" spans="1:4" x14ac:dyDescent="0.3">
      <c r="A287" s="5" t="s">
        <v>321</v>
      </c>
    </row>
    <row r="288" spans="1:4" x14ac:dyDescent="0.3">
      <c r="A288" s="5" t="s">
        <v>322</v>
      </c>
    </row>
    <row r="289" spans="1:5" x14ac:dyDescent="0.3">
      <c r="A289" s="5" t="s">
        <v>309</v>
      </c>
    </row>
    <row r="290" spans="1:5" x14ac:dyDescent="0.3">
      <c r="A290" s="5" t="s">
        <v>323</v>
      </c>
    </row>
    <row r="291" spans="1:5" x14ac:dyDescent="0.3">
      <c r="A291" s="5" t="s">
        <v>324</v>
      </c>
    </row>
    <row r="292" spans="1:5" x14ac:dyDescent="0.3">
      <c r="A292" s="5" t="s">
        <v>325</v>
      </c>
    </row>
    <row r="294" spans="1:5" x14ac:dyDescent="0.3">
      <c r="A294" s="13" t="s">
        <v>310</v>
      </c>
      <c r="B294" s="13" t="s">
        <v>311</v>
      </c>
      <c r="C294" s="13" t="s">
        <v>312</v>
      </c>
      <c r="D294" s="13" t="s">
        <v>313</v>
      </c>
    </row>
    <row r="295" spans="1:5" x14ac:dyDescent="0.3">
      <c r="A295" s="67" t="s">
        <v>314</v>
      </c>
      <c r="B295" s="24">
        <v>120000</v>
      </c>
      <c r="C295" s="24">
        <v>135000</v>
      </c>
      <c r="D295" s="25">
        <f>(C295-B295)/B295</f>
        <v>0.125</v>
      </c>
      <c r="E295" s="3" t="str">
        <f ca="1">_xlfn.FORMULATEXT(D295)</f>
        <v>=(C295-B295)/B295</v>
      </c>
    </row>
    <row r="296" spans="1:5" x14ac:dyDescent="0.3">
      <c r="A296" s="67" t="s">
        <v>315</v>
      </c>
      <c r="B296" s="24">
        <v>145000</v>
      </c>
      <c r="C296" s="24">
        <v>160000</v>
      </c>
      <c r="D296" s="25">
        <f t="shared" ref="D296:D299" si="15">(C296-B296)/B296</f>
        <v>0.10344827586206896</v>
      </c>
    </row>
    <row r="297" spans="1:5" x14ac:dyDescent="0.3">
      <c r="A297" s="67" t="s">
        <v>316</v>
      </c>
      <c r="B297" s="24">
        <v>130000</v>
      </c>
      <c r="C297" s="24">
        <v>125000</v>
      </c>
      <c r="D297" s="25">
        <f t="shared" si="15"/>
        <v>-3.8461538461538464E-2</v>
      </c>
    </row>
    <row r="298" spans="1:5" x14ac:dyDescent="0.3">
      <c r="A298" s="67" t="s">
        <v>317</v>
      </c>
      <c r="B298" s="24">
        <v>155000</v>
      </c>
      <c r="C298" s="24">
        <v>170000</v>
      </c>
      <c r="D298" s="25">
        <f t="shared" si="15"/>
        <v>9.6774193548387094E-2</v>
      </c>
    </row>
    <row r="299" spans="1:5" x14ac:dyDescent="0.3">
      <c r="A299" s="18" t="s">
        <v>26</v>
      </c>
      <c r="B299" s="26">
        <f>SUM(B295:B298)</f>
        <v>550000</v>
      </c>
      <c r="C299" s="26">
        <f>SUM(C295:C298)</f>
        <v>590000</v>
      </c>
      <c r="D299" s="25">
        <f t="shared" si="15"/>
        <v>7.2727272727272724E-2</v>
      </c>
    </row>
    <row r="301" spans="1:5" x14ac:dyDescent="0.3">
      <c r="A301" s="22" t="s">
        <v>326</v>
      </c>
    </row>
    <row r="302" spans="1:5" x14ac:dyDescent="0.3">
      <c r="A302" s="67" t="s">
        <v>346</v>
      </c>
    </row>
    <row r="303" spans="1:5" x14ac:dyDescent="0.3">
      <c r="A303" s="30"/>
    </row>
    <row r="304" spans="1:5" x14ac:dyDescent="0.3">
      <c r="A304" s="30" t="s">
        <v>347</v>
      </c>
    </row>
    <row r="305" spans="1:7" x14ac:dyDescent="0.3">
      <c r="A305" s="30" t="s">
        <v>348</v>
      </c>
    </row>
    <row r="306" spans="1:7" x14ac:dyDescent="0.3">
      <c r="A306" s="20"/>
    </row>
    <row r="307" spans="1:7" x14ac:dyDescent="0.3">
      <c r="A307" s="67" t="s">
        <v>327</v>
      </c>
    </row>
    <row r="308" spans="1:7" x14ac:dyDescent="0.3">
      <c r="A308" s="30"/>
    </row>
    <row r="309" spans="1:7" x14ac:dyDescent="0.3">
      <c r="A309" s="30" t="s">
        <v>349</v>
      </c>
    </row>
    <row r="310" spans="1:7" x14ac:dyDescent="0.3">
      <c r="A310" s="30" t="s">
        <v>350</v>
      </c>
    </row>
    <row r="311" spans="1:7" x14ac:dyDescent="0.3">
      <c r="A311" s="30" t="s">
        <v>351</v>
      </c>
    </row>
    <row r="312" spans="1:7" x14ac:dyDescent="0.3">
      <c r="A312" s="31" t="s">
        <v>328</v>
      </c>
    </row>
    <row r="314" spans="1:7" x14ac:dyDescent="0.3">
      <c r="A314" s="10" t="s">
        <v>329</v>
      </c>
      <c r="B314" s="10" t="s">
        <v>330</v>
      </c>
      <c r="C314" s="10" t="s">
        <v>9</v>
      </c>
      <c r="D314" s="10" t="s">
        <v>8</v>
      </c>
      <c r="E314" s="10" t="s">
        <v>331</v>
      </c>
      <c r="F314" s="10"/>
    </row>
    <row r="315" spans="1:7" x14ac:dyDescent="0.3">
      <c r="A315" s="67" t="s">
        <v>332</v>
      </c>
      <c r="B315" s="67" t="s">
        <v>333</v>
      </c>
      <c r="C315" s="67">
        <v>25.2</v>
      </c>
      <c r="D315" s="67">
        <v>100</v>
      </c>
      <c r="E315" s="67" t="s">
        <v>334</v>
      </c>
      <c r="F315" s="8">
        <f>SUMPRODUCT(D315:D322)</f>
        <v>700</v>
      </c>
      <c r="G315" s="3" t="str">
        <f ca="1">_xlfn.FORMULATEXT(F315)</f>
        <v>=SUMPRODUCT(D315:D322)</v>
      </c>
    </row>
    <row r="316" spans="1:7" x14ac:dyDescent="0.3">
      <c r="A316" s="67" t="s">
        <v>335</v>
      </c>
      <c r="B316" s="67" t="s">
        <v>336</v>
      </c>
      <c r="C316" s="67">
        <v>24.2</v>
      </c>
      <c r="D316" s="67">
        <v>120</v>
      </c>
      <c r="E316" s="67" t="s">
        <v>337</v>
      </c>
      <c r="F316" s="8" cm="1">
        <f t="array" ref="F316">SUMPRODUCT(C315:C322*D315:D322)</f>
        <v>16947</v>
      </c>
    </row>
    <row r="317" spans="1:7" x14ac:dyDescent="0.3">
      <c r="A317" s="67" t="s">
        <v>338</v>
      </c>
      <c r="B317" s="67" t="s">
        <v>339</v>
      </c>
      <c r="C317" s="67">
        <v>23.75</v>
      </c>
      <c r="D317" s="67">
        <v>80</v>
      </c>
      <c r="E317" s="67" t="s">
        <v>340</v>
      </c>
      <c r="F317" s="8">
        <f>F316/F315</f>
        <v>24.21</v>
      </c>
    </row>
    <row r="318" spans="1:7" x14ac:dyDescent="0.3">
      <c r="A318" s="67" t="s">
        <v>341</v>
      </c>
      <c r="B318" s="67" t="s">
        <v>333</v>
      </c>
      <c r="C318" s="67">
        <v>24.1</v>
      </c>
      <c r="D318" s="67">
        <v>150</v>
      </c>
      <c r="E318" s="67"/>
      <c r="F318" s="67"/>
      <c r="G318" s="67"/>
    </row>
    <row r="319" spans="1:7" x14ac:dyDescent="0.3">
      <c r="A319" s="67" t="s">
        <v>342</v>
      </c>
      <c r="B319" s="67" t="s">
        <v>336</v>
      </c>
      <c r="C319" s="67">
        <v>23.9</v>
      </c>
      <c r="D319" s="67">
        <v>60</v>
      </c>
      <c r="E319" s="67"/>
      <c r="F319" s="67"/>
      <c r="G319" s="67"/>
    </row>
    <row r="320" spans="1:7" x14ac:dyDescent="0.3">
      <c r="A320" s="67" t="s">
        <v>343</v>
      </c>
      <c r="B320" s="67" t="s">
        <v>339</v>
      </c>
      <c r="C320" s="67">
        <v>24.8</v>
      </c>
      <c r="D320" s="67">
        <v>40</v>
      </c>
      <c r="E320" s="67"/>
      <c r="F320" s="67"/>
      <c r="G320" s="67"/>
    </row>
    <row r="321" spans="1:7" x14ac:dyDescent="0.3">
      <c r="A321" s="67" t="s">
        <v>344</v>
      </c>
      <c r="B321" s="67" t="s">
        <v>333</v>
      </c>
      <c r="C321" s="67">
        <v>23.6</v>
      </c>
      <c r="D321" s="67">
        <v>90</v>
      </c>
      <c r="E321" s="67"/>
      <c r="F321" s="67"/>
      <c r="G321" s="67"/>
    </row>
    <row r="322" spans="1:7" x14ac:dyDescent="0.3">
      <c r="A322" s="67" t="s">
        <v>345</v>
      </c>
      <c r="B322" s="67" t="s">
        <v>336</v>
      </c>
      <c r="C322" s="67">
        <v>24.3</v>
      </c>
      <c r="D322" s="67">
        <v>60</v>
      </c>
      <c r="E322" s="67"/>
      <c r="F322" s="67"/>
      <c r="G322" s="67"/>
    </row>
    <row r="324" spans="1:7" x14ac:dyDescent="0.3">
      <c r="A324" s="22" t="s">
        <v>352</v>
      </c>
    </row>
    <row r="325" spans="1:7" x14ac:dyDescent="0.3">
      <c r="A325" s="20" t="s">
        <v>353</v>
      </c>
    </row>
    <row r="326" spans="1:7" x14ac:dyDescent="0.3">
      <c r="A326" s="30" t="s">
        <v>365</v>
      </c>
    </row>
    <row r="327" spans="1:7" x14ac:dyDescent="0.3">
      <c r="A327" s="30" t="s">
        <v>366</v>
      </c>
    </row>
    <row r="328" spans="1:7" x14ac:dyDescent="0.3">
      <c r="A328" s="30" t="s">
        <v>367</v>
      </c>
    </row>
    <row r="329" spans="1:7" x14ac:dyDescent="0.3">
      <c r="A329" s="30" t="s">
        <v>368</v>
      </c>
    </row>
    <row r="330" spans="1:7" x14ac:dyDescent="0.3">
      <c r="A330" s="30" t="s">
        <v>369</v>
      </c>
    </row>
    <row r="331" spans="1:7" x14ac:dyDescent="0.3">
      <c r="A331" s="30" t="s">
        <v>370</v>
      </c>
    </row>
    <row r="333" spans="1:7" x14ac:dyDescent="0.3">
      <c r="A333" s="67" t="s">
        <v>354</v>
      </c>
      <c r="B333" s="67"/>
    </row>
    <row r="334" spans="1:7" x14ac:dyDescent="0.3">
      <c r="A334" s="10" t="s">
        <v>235</v>
      </c>
      <c r="B334" s="10" t="s">
        <v>87</v>
      </c>
    </row>
    <row r="335" spans="1:7" x14ac:dyDescent="0.3">
      <c r="A335" s="67">
        <v>1040</v>
      </c>
      <c r="B335" s="67" t="s">
        <v>92</v>
      </c>
    </row>
    <row r="336" spans="1:7" x14ac:dyDescent="0.3">
      <c r="A336" s="67">
        <v>1042</v>
      </c>
      <c r="B336" s="67" t="s">
        <v>116</v>
      </c>
    </row>
    <row r="337" spans="1:3" x14ac:dyDescent="0.3">
      <c r="A337" s="67">
        <v>1051</v>
      </c>
      <c r="B337" s="67" t="s">
        <v>355</v>
      </c>
    </row>
    <row r="338" spans="1:3" x14ac:dyDescent="0.3">
      <c r="A338" s="67">
        <v>1063</v>
      </c>
      <c r="B338" s="67" t="s">
        <v>90</v>
      </c>
    </row>
    <row r="339" spans="1:3" x14ac:dyDescent="0.3">
      <c r="A339" s="67">
        <v>1038</v>
      </c>
      <c r="B339" s="67" t="s">
        <v>356</v>
      </c>
    </row>
    <row r="340" spans="1:3" x14ac:dyDescent="0.3">
      <c r="A340" s="67"/>
      <c r="B340" s="67"/>
    </row>
    <row r="341" spans="1:3" x14ac:dyDescent="0.3">
      <c r="A341" s="67" t="s">
        <v>357</v>
      </c>
      <c r="B341" s="67"/>
    </row>
    <row r="342" spans="1:3" x14ac:dyDescent="0.3">
      <c r="A342" s="10" t="s">
        <v>235</v>
      </c>
      <c r="B342" s="10" t="s">
        <v>358</v>
      </c>
    </row>
    <row r="343" spans="1:3" x14ac:dyDescent="0.3">
      <c r="A343" s="67">
        <v>1042</v>
      </c>
      <c r="B343" s="8" t="str">
        <f>VLOOKUP(A343,$A$335:$B$339,2,0)</f>
        <v>HR</v>
      </c>
      <c r="C343" s="3" t="str">
        <f ca="1">_xlfn.FORMULATEXT(B343)</f>
        <v>=VLOOKUP(A343,$A$335:$B$339,2,0)</v>
      </c>
    </row>
    <row r="344" spans="1:3" x14ac:dyDescent="0.3">
      <c r="A344" s="67">
        <v>1038</v>
      </c>
      <c r="B344" s="8" t="str">
        <f t="shared" ref="B344:B346" si="16">VLOOKUP(A344,$A$335:$B$339,2,0)</f>
        <v>Payroll</v>
      </c>
    </row>
    <row r="345" spans="1:3" x14ac:dyDescent="0.3">
      <c r="A345" s="67">
        <v>1051</v>
      </c>
      <c r="B345" s="8" t="str">
        <f t="shared" si="16"/>
        <v>IT</v>
      </c>
    </row>
    <row r="346" spans="1:3" x14ac:dyDescent="0.3">
      <c r="A346" s="67">
        <v>1040</v>
      </c>
      <c r="B346" s="8" t="str">
        <f t="shared" si="16"/>
        <v>Finance</v>
      </c>
    </row>
    <row r="347" spans="1:3" x14ac:dyDescent="0.3">
      <c r="A347" s="67"/>
    </row>
    <row r="348" spans="1:3" x14ac:dyDescent="0.3">
      <c r="A348" s="22" t="s">
        <v>360</v>
      </c>
    </row>
    <row r="349" spans="1:3" x14ac:dyDescent="0.3">
      <c r="A349" s="20" t="s">
        <v>359</v>
      </c>
    </row>
    <row r="350" spans="1:3" x14ac:dyDescent="0.3">
      <c r="A350" s="30" t="s">
        <v>371</v>
      </c>
    </row>
    <row r="351" spans="1:3" x14ac:dyDescent="0.3">
      <c r="A351" s="30" t="s">
        <v>372</v>
      </c>
    </row>
    <row r="352" spans="1:3" x14ac:dyDescent="0.3">
      <c r="A352" s="30" t="s">
        <v>361</v>
      </c>
    </row>
    <row r="353" spans="1:5" x14ac:dyDescent="0.3">
      <c r="A353" s="30" t="s">
        <v>373</v>
      </c>
    </row>
    <row r="355" spans="1:5" x14ac:dyDescent="0.3">
      <c r="A355" s="10" t="s">
        <v>362</v>
      </c>
      <c r="B355" s="10" t="s">
        <v>314</v>
      </c>
      <c r="C355" s="10" t="s">
        <v>315</v>
      </c>
      <c r="D355" s="10" t="s">
        <v>316</v>
      </c>
      <c r="E355" s="10" t="s">
        <v>317</v>
      </c>
    </row>
    <row r="356" spans="1:5" x14ac:dyDescent="0.3">
      <c r="A356" s="67" t="s">
        <v>363</v>
      </c>
      <c r="B356" s="67">
        <v>85000</v>
      </c>
      <c r="C356" s="67">
        <v>95000</v>
      </c>
      <c r="D356" s="67">
        <v>110000</v>
      </c>
      <c r="E356" s="67">
        <v>120000</v>
      </c>
    </row>
    <row r="357" spans="1:5" x14ac:dyDescent="0.3">
      <c r="C357" s="67"/>
      <c r="D357" s="67"/>
      <c r="E357" s="67"/>
    </row>
    <row r="358" spans="1:5" x14ac:dyDescent="0.3">
      <c r="A358" s="3" t="s">
        <v>310</v>
      </c>
      <c r="B358" s="3" t="s">
        <v>316</v>
      </c>
      <c r="C358" s="8">
        <f>HLOOKUP(B358,A355:E356,2,0)</f>
        <v>110000</v>
      </c>
      <c r="D358" s="67"/>
      <c r="E358" s="67"/>
    </row>
    <row r="359" spans="1:5" ht="26.4" customHeight="1" x14ac:dyDescent="0.3">
      <c r="A359" s="3" t="s">
        <v>364</v>
      </c>
      <c r="C359" s="71" t="str">
        <f ca="1">_xlfn.FORMULATEXT(C358)</f>
        <v>=HLOOKUP(B358,A355:E356,2,0)</v>
      </c>
      <c r="D359" s="67"/>
      <c r="E359" s="67"/>
    </row>
    <row r="360" spans="1:5" x14ac:dyDescent="0.3">
      <c r="C360" s="71"/>
    </row>
    <row r="362" spans="1:5" x14ac:dyDescent="0.3">
      <c r="A362" s="22" t="s">
        <v>374</v>
      </c>
    </row>
    <row r="363" spans="1:5" x14ac:dyDescent="0.3">
      <c r="A363" s="3" t="s">
        <v>375</v>
      </c>
    </row>
    <row r="364" spans="1:5" x14ac:dyDescent="0.3">
      <c r="A364" s="30" t="s">
        <v>396</v>
      </c>
    </row>
    <row r="365" spans="1:5" x14ac:dyDescent="0.3">
      <c r="A365" s="30" t="s">
        <v>397</v>
      </c>
    </row>
    <row r="367" spans="1:5" x14ac:dyDescent="0.3">
      <c r="A367" s="67" t="s">
        <v>398</v>
      </c>
    </row>
    <row r="368" spans="1:5" x14ac:dyDescent="0.3">
      <c r="A368" s="20"/>
    </row>
    <row r="369" spans="1:8" x14ac:dyDescent="0.3">
      <c r="A369" s="67" t="s">
        <v>376</v>
      </c>
    </row>
    <row r="370" spans="1:8" x14ac:dyDescent="0.3">
      <c r="A370" s="30"/>
    </row>
    <row r="371" spans="1:8" x14ac:dyDescent="0.3">
      <c r="A371" s="30" t="s">
        <v>399</v>
      </c>
    </row>
    <row r="372" spans="1:8" x14ac:dyDescent="0.3">
      <c r="A372" s="30" t="s">
        <v>377</v>
      </c>
    </row>
    <row r="373" spans="1:8" x14ac:dyDescent="0.3">
      <c r="A373" s="30" t="s">
        <v>400</v>
      </c>
    </row>
    <row r="375" spans="1:8" x14ac:dyDescent="0.3">
      <c r="A375" s="67" t="s">
        <v>378</v>
      </c>
      <c r="B375" s="67"/>
      <c r="C375" s="67"/>
      <c r="D375" s="67"/>
      <c r="E375" s="67"/>
      <c r="F375" s="67"/>
      <c r="G375" s="67"/>
      <c r="H375" s="67"/>
    </row>
    <row r="376" spans="1:8" x14ac:dyDescent="0.3">
      <c r="A376" s="32" t="s">
        <v>379</v>
      </c>
      <c r="B376" s="67"/>
      <c r="C376" s="67"/>
      <c r="D376" s="67"/>
      <c r="E376" s="67"/>
      <c r="F376" s="67"/>
      <c r="G376" s="67"/>
      <c r="H376" s="67"/>
    </row>
    <row r="377" spans="1:8" x14ac:dyDescent="0.3">
      <c r="A377" s="33" t="s">
        <v>380</v>
      </c>
      <c r="B377" s="67"/>
      <c r="C377" s="67"/>
      <c r="E377" s="67"/>
      <c r="F377" s="67"/>
      <c r="G377" s="33" t="s">
        <v>381</v>
      </c>
      <c r="H377" s="67"/>
    </row>
    <row r="378" spans="1:8" x14ac:dyDescent="0.3">
      <c r="A378" s="10" t="s">
        <v>382</v>
      </c>
      <c r="B378" s="10" t="s">
        <v>383</v>
      </c>
      <c r="C378" s="10" t="s">
        <v>384</v>
      </c>
      <c r="D378" s="10" t="s">
        <v>385</v>
      </c>
      <c r="E378" s="10" t="s">
        <v>386</v>
      </c>
      <c r="F378" s="67"/>
      <c r="G378" s="10" t="s">
        <v>387</v>
      </c>
      <c r="H378" s="10" t="s">
        <v>385</v>
      </c>
    </row>
    <row r="379" spans="1:8" x14ac:dyDescent="0.3">
      <c r="A379" s="67" t="s">
        <v>388</v>
      </c>
      <c r="B379" s="67" t="s">
        <v>389</v>
      </c>
      <c r="C379" s="67">
        <v>0.8</v>
      </c>
      <c r="D379" s="8">
        <f>VLOOKUP(C379,G379:H383,2,1)</f>
        <v>6.5</v>
      </c>
      <c r="E379" s="67">
        <v>5.2</v>
      </c>
      <c r="F379" s="67"/>
      <c r="G379" s="67">
        <v>0</v>
      </c>
      <c r="H379" s="67">
        <v>6.5</v>
      </c>
    </row>
    <row r="380" spans="1:8" x14ac:dyDescent="0.3">
      <c r="A380" s="67" t="s">
        <v>390</v>
      </c>
      <c r="B380" s="67" t="s">
        <v>389</v>
      </c>
      <c r="C380" s="67">
        <v>2.4</v>
      </c>
      <c r="D380" s="8">
        <f t="shared" ref="D380:D383" si="17">VLOOKUP(C380,G380:H384,2,1)</f>
        <v>5.75</v>
      </c>
      <c r="E380" s="67">
        <v>13.8</v>
      </c>
      <c r="F380" s="67"/>
      <c r="G380" s="67">
        <v>1</v>
      </c>
      <c r="H380" s="67">
        <v>5.75</v>
      </c>
    </row>
    <row r="381" spans="1:8" x14ac:dyDescent="0.3">
      <c r="A381" s="67" t="s">
        <v>391</v>
      </c>
      <c r="B381" s="67" t="s">
        <v>392</v>
      </c>
      <c r="C381" s="67">
        <v>6.2</v>
      </c>
      <c r="D381" s="8">
        <f>VLOOKUP(C381,G381:H385,2,1)</f>
        <v>5</v>
      </c>
      <c r="E381" s="67">
        <v>31</v>
      </c>
      <c r="F381" s="67"/>
      <c r="G381" s="67">
        <v>5</v>
      </c>
      <c r="H381" s="67">
        <v>5</v>
      </c>
    </row>
    <row r="382" spans="1:8" x14ac:dyDescent="0.3">
      <c r="A382" s="67" t="s">
        <v>393</v>
      </c>
      <c r="B382" s="67" t="s">
        <v>394</v>
      </c>
      <c r="C382" s="67">
        <v>12</v>
      </c>
      <c r="D382" s="8">
        <f t="shared" si="17"/>
        <v>4.25</v>
      </c>
      <c r="E382" s="67">
        <v>51</v>
      </c>
      <c r="F382" s="67"/>
      <c r="G382" s="67">
        <v>10</v>
      </c>
      <c r="H382" s="67">
        <v>4.25</v>
      </c>
    </row>
    <row r="383" spans="1:8" x14ac:dyDescent="0.3">
      <c r="A383" s="67" t="s">
        <v>395</v>
      </c>
      <c r="B383" s="67" t="s">
        <v>389</v>
      </c>
      <c r="C383" s="67">
        <v>24.5</v>
      </c>
      <c r="D383" s="8">
        <f t="shared" si="17"/>
        <v>3.75</v>
      </c>
      <c r="E383" s="67">
        <v>91.875</v>
      </c>
      <c r="F383" s="67"/>
      <c r="G383" s="67">
        <v>20</v>
      </c>
      <c r="H383" s="67">
        <v>3.75</v>
      </c>
    </row>
    <row r="385" spans="1:4" x14ac:dyDescent="0.3">
      <c r="D385" s="3" t="str">
        <f ca="1">_xlfn.FORMULATEXT(D379)</f>
        <v>=VLOOKUP(C379,G379:H383,2,1)</v>
      </c>
    </row>
    <row r="387" spans="1:4" x14ac:dyDescent="0.3">
      <c r="A387" s="22" t="s">
        <v>401</v>
      </c>
    </row>
    <row r="388" spans="1:4" x14ac:dyDescent="0.3">
      <c r="A388" s="3" t="s">
        <v>353</v>
      </c>
    </row>
    <row r="389" spans="1:4" x14ac:dyDescent="0.3">
      <c r="A389" s="30" t="s">
        <v>431</v>
      </c>
    </row>
    <row r="390" spans="1:4" x14ac:dyDescent="0.3">
      <c r="A390" s="30" t="s">
        <v>432</v>
      </c>
    </row>
    <row r="391" spans="1:4" x14ac:dyDescent="0.3">
      <c r="A391" s="30" t="s">
        <v>433</v>
      </c>
    </row>
    <row r="392" spans="1:4" x14ac:dyDescent="0.3">
      <c r="A392" s="30" t="s">
        <v>434</v>
      </c>
    </row>
    <row r="394" spans="1:4" x14ac:dyDescent="0.3">
      <c r="A394" s="67" t="s">
        <v>435</v>
      </c>
    </row>
    <row r="395" spans="1:4" x14ac:dyDescent="0.3">
      <c r="A395" s="30"/>
    </row>
    <row r="396" spans="1:4" x14ac:dyDescent="0.3">
      <c r="A396" s="30" t="s">
        <v>436</v>
      </c>
    </row>
    <row r="397" spans="1:4" x14ac:dyDescent="0.3">
      <c r="A397" s="30" t="s">
        <v>437</v>
      </c>
    </row>
    <row r="398" spans="1:4" x14ac:dyDescent="0.3">
      <c r="A398" s="30" t="s">
        <v>402</v>
      </c>
    </row>
    <row r="399" spans="1:4" x14ac:dyDescent="0.3">
      <c r="A399" s="30" t="s">
        <v>438</v>
      </c>
    </row>
    <row r="401" spans="1:4" x14ac:dyDescent="0.3">
      <c r="A401" s="13" t="s">
        <v>403</v>
      </c>
      <c r="B401" s="13" t="s">
        <v>404</v>
      </c>
      <c r="C401" s="13" t="s">
        <v>405</v>
      </c>
      <c r="D401" s="13" t="s">
        <v>406</v>
      </c>
    </row>
    <row r="402" spans="1:4" x14ac:dyDescent="0.3">
      <c r="A402" s="67" t="s">
        <v>407</v>
      </c>
      <c r="B402" s="67" t="s">
        <v>408</v>
      </c>
      <c r="C402" s="67" t="s">
        <v>409</v>
      </c>
      <c r="D402" s="67" t="s">
        <v>410</v>
      </c>
    </row>
    <row r="403" spans="1:4" x14ac:dyDescent="0.3">
      <c r="A403" s="67" t="s">
        <v>411</v>
      </c>
      <c r="B403" s="67" t="s">
        <v>412</v>
      </c>
      <c r="C403" s="67" t="s">
        <v>413</v>
      </c>
      <c r="D403" s="67" t="s">
        <v>414</v>
      </c>
    </row>
    <row r="404" spans="1:4" x14ac:dyDescent="0.3">
      <c r="A404" s="67" t="s">
        <v>415</v>
      </c>
      <c r="B404" s="67" t="s">
        <v>416</v>
      </c>
      <c r="C404" s="67" t="s">
        <v>417</v>
      </c>
      <c r="D404" s="67" t="s">
        <v>418</v>
      </c>
    </row>
    <row r="405" spans="1:4" x14ac:dyDescent="0.3">
      <c r="A405" s="67" t="s">
        <v>419</v>
      </c>
      <c r="B405" s="67" t="s">
        <v>420</v>
      </c>
      <c r="C405" s="67" t="s">
        <v>421</v>
      </c>
      <c r="D405" s="67" t="s">
        <v>422</v>
      </c>
    </row>
    <row r="406" spans="1:4" x14ac:dyDescent="0.3">
      <c r="A406" s="67" t="s">
        <v>423</v>
      </c>
      <c r="B406" s="67" t="s">
        <v>424</v>
      </c>
      <c r="C406" s="67" t="s">
        <v>425</v>
      </c>
      <c r="D406" s="67" t="s">
        <v>426</v>
      </c>
    </row>
    <row r="407" spans="1:4" x14ac:dyDescent="0.3">
      <c r="A407" s="67" t="s">
        <v>427</v>
      </c>
      <c r="B407" s="67" t="s">
        <v>428</v>
      </c>
      <c r="C407" s="67" t="s">
        <v>429</v>
      </c>
      <c r="D407" s="67" t="s">
        <v>430</v>
      </c>
    </row>
    <row r="408" spans="1:4" x14ac:dyDescent="0.3">
      <c r="A408" s="67"/>
      <c r="B408" s="67"/>
      <c r="C408" s="67"/>
      <c r="D408" s="67"/>
    </row>
    <row r="409" spans="1:4" x14ac:dyDescent="0.3">
      <c r="A409" s="67" t="s">
        <v>403</v>
      </c>
      <c r="B409" s="67" t="s">
        <v>419</v>
      </c>
      <c r="C409" s="67"/>
      <c r="D409" s="67"/>
    </row>
    <row r="410" spans="1:4" x14ac:dyDescent="0.3">
      <c r="A410" s="67" t="s">
        <v>405</v>
      </c>
      <c r="B410" s="8" t="str">
        <f>VLOOKUP(B409,A402:C407,3,0)</f>
        <v>Denver</v>
      </c>
      <c r="C410" s="67"/>
      <c r="D410" s="67"/>
    </row>
    <row r="411" spans="1:4" x14ac:dyDescent="0.3">
      <c r="B411" s="3" t="str">
        <f ca="1">_xlfn.FORMULATEXT(B410)</f>
        <v>=VLOOKUP(B409,A402:C407,3,0)</v>
      </c>
    </row>
    <row r="413" spans="1:4" x14ac:dyDescent="0.3">
      <c r="A413" s="22" t="s">
        <v>439</v>
      </c>
    </row>
    <row r="414" spans="1:4" ht="78" x14ac:dyDescent="0.3">
      <c r="A414" s="5" t="s">
        <v>440</v>
      </c>
    </row>
    <row r="416" spans="1:4" ht="78" x14ac:dyDescent="0.3">
      <c r="A416" s="5" t="s">
        <v>440</v>
      </c>
    </row>
    <row r="418" spans="1:7" x14ac:dyDescent="0.3">
      <c r="A418" s="10" t="s">
        <v>202</v>
      </c>
      <c r="B418" s="10" t="s">
        <v>46</v>
      </c>
      <c r="C418" s="10" t="s">
        <v>47</v>
      </c>
      <c r="D418" s="10" t="s">
        <v>441</v>
      </c>
    </row>
    <row r="419" spans="1:7" x14ac:dyDescent="0.3">
      <c r="A419" s="67" t="s">
        <v>442</v>
      </c>
      <c r="B419" s="67" t="s">
        <v>443</v>
      </c>
      <c r="C419" s="67" t="s">
        <v>444</v>
      </c>
      <c r="D419" s="67">
        <v>12</v>
      </c>
    </row>
    <row r="420" spans="1:7" x14ac:dyDescent="0.3">
      <c r="A420" s="67" t="s">
        <v>445</v>
      </c>
      <c r="B420" s="67" t="s">
        <v>446</v>
      </c>
      <c r="C420" s="67" t="s">
        <v>447</v>
      </c>
      <c r="D420" s="67">
        <v>18</v>
      </c>
    </row>
    <row r="421" spans="1:7" x14ac:dyDescent="0.3">
      <c r="A421" s="67" t="s">
        <v>448</v>
      </c>
      <c r="B421" s="67" t="s">
        <v>449</v>
      </c>
      <c r="C421" s="67" t="s">
        <v>106</v>
      </c>
      <c r="D421" s="67">
        <v>24</v>
      </c>
    </row>
    <row r="422" spans="1:7" x14ac:dyDescent="0.3">
      <c r="A422" s="67" t="s">
        <v>450</v>
      </c>
      <c r="B422" s="67" t="s">
        <v>60</v>
      </c>
      <c r="C422" s="67" t="s">
        <v>447</v>
      </c>
      <c r="D422" s="67">
        <v>35</v>
      </c>
    </row>
    <row r="424" spans="1:7" x14ac:dyDescent="0.3">
      <c r="B424" s="3" t="s">
        <v>451</v>
      </c>
      <c r="C424" s="3" t="s">
        <v>446</v>
      </c>
    </row>
    <row r="425" spans="1:7" x14ac:dyDescent="0.3">
      <c r="B425" s="3" t="s">
        <v>452</v>
      </c>
      <c r="C425" s="3" t="str">
        <f>_xlfn.XLOOKUP(C424,B419:B422,A419:A422,"Not Found")</f>
        <v>SK-200</v>
      </c>
    </row>
    <row r="427" spans="1:7" x14ac:dyDescent="0.3">
      <c r="C427" s="3" t="str">
        <f ca="1">_xlfn.FORMULATEXT(C425)</f>
        <v>=XLOOKUP(C424,B419:B422,A419:A422,"Not Found")</v>
      </c>
    </row>
    <row r="429" spans="1:7" x14ac:dyDescent="0.3">
      <c r="A429" s="22" t="s">
        <v>453</v>
      </c>
    </row>
    <row r="430" spans="1:7" ht="93.6" x14ac:dyDescent="0.3">
      <c r="A430" s="34" t="s">
        <v>477</v>
      </c>
    </row>
    <row r="431" spans="1:7" ht="93.6" x14ac:dyDescent="0.3">
      <c r="A431" s="34" t="s">
        <v>476</v>
      </c>
    </row>
    <row r="432" spans="1:7" x14ac:dyDescent="0.3">
      <c r="A432" s="10" t="s">
        <v>202</v>
      </c>
      <c r="B432" s="10" t="s">
        <v>46</v>
      </c>
      <c r="C432" s="10" t="s">
        <v>47</v>
      </c>
      <c r="D432" s="10" t="s">
        <v>454</v>
      </c>
      <c r="E432" s="67"/>
      <c r="F432" s="10" t="s">
        <v>455</v>
      </c>
      <c r="G432" s="10" t="s">
        <v>46</v>
      </c>
    </row>
    <row r="433" spans="1:7" x14ac:dyDescent="0.3">
      <c r="A433" s="67" t="s">
        <v>456</v>
      </c>
      <c r="B433" s="67" t="s">
        <v>457</v>
      </c>
      <c r="C433" s="67" t="s">
        <v>458</v>
      </c>
      <c r="D433" s="67">
        <v>6.25</v>
      </c>
      <c r="E433" s="67"/>
      <c r="F433" s="35" t="s">
        <v>456</v>
      </c>
      <c r="G433" s="8" t="str">
        <f t="shared" ref="G433:G439" si="18">_xlfn.XLOOKUP(F433,$A$433:$A$439,$B$433:$B$439,"Discontinued")</f>
        <v>Box Cutter</v>
      </c>
    </row>
    <row r="434" spans="1:7" x14ac:dyDescent="0.3">
      <c r="A434" s="67" t="s">
        <v>459</v>
      </c>
      <c r="B434" s="67" t="s">
        <v>460</v>
      </c>
      <c r="C434" s="67" t="s">
        <v>461</v>
      </c>
      <c r="D434" s="67">
        <v>3.4</v>
      </c>
      <c r="E434" s="67"/>
      <c r="F434" s="35" t="s">
        <v>462</v>
      </c>
      <c r="G434" s="8" t="str">
        <f t="shared" si="18"/>
        <v>Discontinued</v>
      </c>
    </row>
    <row r="435" spans="1:7" x14ac:dyDescent="0.3">
      <c r="A435" s="67" t="s">
        <v>463</v>
      </c>
      <c r="B435" s="67" t="s">
        <v>464</v>
      </c>
      <c r="C435" s="67" t="s">
        <v>461</v>
      </c>
      <c r="D435" s="67">
        <v>19.989999999999998</v>
      </c>
      <c r="E435" s="67"/>
      <c r="F435" s="35" t="s">
        <v>463</v>
      </c>
      <c r="G435" s="8" t="str">
        <f t="shared" si="18"/>
        <v>Bubble Wrap Roll</v>
      </c>
    </row>
    <row r="436" spans="1:7" x14ac:dyDescent="0.3">
      <c r="A436" s="67" t="s">
        <v>465</v>
      </c>
      <c r="B436" s="67" t="s">
        <v>466</v>
      </c>
      <c r="C436" s="67" t="s">
        <v>461</v>
      </c>
      <c r="D436" s="67">
        <v>14.5</v>
      </c>
      <c r="E436" s="67"/>
      <c r="F436" s="35" t="s">
        <v>467</v>
      </c>
      <c r="G436" s="8" t="str">
        <f t="shared" si="18"/>
        <v>Discontinued</v>
      </c>
    </row>
    <row r="437" spans="1:7" x14ac:dyDescent="0.3">
      <c r="A437" s="67" t="s">
        <v>468</v>
      </c>
      <c r="B437" s="67" t="s">
        <v>469</v>
      </c>
      <c r="C437" s="67" t="s">
        <v>470</v>
      </c>
      <c r="D437" s="67">
        <v>8.75</v>
      </c>
      <c r="E437" s="67"/>
      <c r="F437" s="35" t="s">
        <v>468</v>
      </c>
      <c r="G437" s="8" t="str">
        <f t="shared" si="18"/>
        <v>Safety Gloves (L)</v>
      </c>
    </row>
    <row r="438" spans="1:7" x14ac:dyDescent="0.3">
      <c r="A438" s="67" t="s">
        <v>471</v>
      </c>
      <c r="B438" s="67" t="s">
        <v>472</v>
      </c>
      <c r="C438" s="67" t="s">
        <v>447</v>
      </c>
      <c r="D438" s="67">
        <v>27.5</v>
      </c>
      <c r="E438" s="67"/>
      <c r="F438" s="35" t="s">
        <v>473</v>
      </c>
      <c r="G438" s="8" t="str">
        <f t="shared" si="18"/>
        <v>Discontinued</v>
      </c>
    </row>
    <row r="439" spans="1:7" ht="31.2" x14ac:dyDescent="0.3">
      <c r="A439" s="67" t="s">
        <v>474</v>
      </c>
      <c r="B439" s="67" t="s">
        <v>475</v>
      </c>
      <c r="C439" s="67" t="s">
        <v>470</v>
      </c>
      <c r="D439" s="67">
        <v>12</v>
      </c>
      <c r="E439" s="67"/>
      <c r="F439" s="35" t="s">
        <v>474</v>
      </c>
      <c r="G439" s="8" t="str">
        <f t="shared" si="18"/>
        <v>Warehouse Marking Tape</v>
      </c>
    </row>
    <row r="441" spans="1:7" x14ac:dyDescent="0.3">
      <c r="A441" s="22" t="s">
        <v>478</v>
      </c>
      <c r="G441" s="3" t="str">
        <f ca="1">_xlfn.FORMULATEXT(G433)</f>
        <v>=XLOOKUP(F433,$A$433:$A$439,$B$433:$B$439,"Discontinued")</v>
      </c>
    </row>
    <row r="442" spans="1:7" ht="31.2" x14ac:dyDescent="0.3">
      <c r="A442" s="67" t="s">
        <v>479</v>
      </c>
    </row>
    <row r="443" spans="1:7" x14ac:dyDescent="0.3">
      <c r="A443" s="20"/>
    </row>
    <row r="444" spans="1:7" ht="31.2" x14ac:dyDescent="0.3">
      <c r="A444" s="67" t="s">
        <v>505</v>
      </c>
    </row>
    <row r="445" spans="1:7" x14ac:dyDescent="0.3">
      <c r="A445" s="20"/>
    </row>
    <row r="446" spans="1:7" x14ac:dyDescent="0.3">
      <c r="A446" s="67" t="s">
        <v>480</v>
      </c>
    </row>
    <row r="447" spans="1:7" x14ac:dyDescent="0.3">
      <c r="A447" s="20"/>
    </row>
    <row r="448" spans="1:7" x14ac:dyDescent="0.3">
      <c r="A448" s="67" t="s">
        <v>481</v>
      </c>
    </row>
    <row r="450" spans="1:4" x14ac:dyDescent="0.3">
      <c r="A450" s="13" t="s">
        <v>255</v>
      </c>
      <c r="B450" s="13" t="s">
        <v>256</v>
      </c>
      <c r="C450" s="13" t="s">
        <v>47</v>
      </c>
      <c r="D450" s="13" t="s">
        <v>482</v>
      </c>
    </row>
    <row r="451" spans="1:4" x14ac:dyDescent="0.3">
      <c r="A451" s="67" t="s">
        <v>483</v>
      </c>
      <c r="B451" s="67" t="s">
        <v>484</v>
      </c>
      <c r="C451" s="67" t="s">
        <v>461</v>
      </c>
      <c r="D451" s="67">
        <v>22.4</v>
      </c>
    </row>
    <row r="452" spans="1:4" x14ac:dyDescent="0.3">
      <c r="A452" s="67" t="s">
        <v>485</v>
      </c>
      <c r="B452" s="67" t="s">
        <v>486</v>
      </c>
      <c r="C452" s="67" t="s">
        <v>487</v>
      </c>
      <c r="D452" s="67">
        <v>18.5</v>
      </c>
    </row>
    <row r="453" spans="1:4" x14ac:dyDescent="0.3">
      <c r="A453" s="67" t="s">
        <v>488</v>
      </c>
      <c r="B453" s="67" t="s">
        <v>489</v>
      </c>
      <c r="C453" s="67" t="s">
        <v>490</v>
      </c>
      <c r="D453" s="67">
        <v>7.2</v>
      </c>
    </row>
    <row r="454" spans="1:4" x14ac:dyDescent="0.3">
      <c r="A454" s="67" t="s">
        <v>491</v>
      </c>
      <c r="B454" s="67" t="s">
        <v>492</v>
      </c>
      <c r="C454" s="67" t="s">
        <v>487</v>
      </c>
      <c r="D454" s="67">
        <v>9.75</v>
      </c>
    </row>
    <row r="455" spans="1:4" x14ac:dyDescent="0.3">
      <c r="A455" s="67" t="s">
        <v>493</v>
      </c>
      <c r="B455" s="67" t="s">
        <v>494</v>
      </c>
      <c r="C455" s="67" t="s">
        <v>470</v>
      </c>
      <c r="D455" s="67">
        <v>31</v>
      </c>
    </row>
    <row r="456" spans="1:4" x14ac:dyDescent="0.3">
      <c r="A456" s="67" t="s">
        <v>495</v>
      </c>
      <c r="B456" s="67" t="s">
        <v>496</v>
      </c>
      <c r="C456" s="67" t="s">
        <v>487</v>
      </c>
      <c r="D456" s="67">
        <v>12.6</v>
      </c>
    </row>
    <row r="457" spans="1:4" x14ac:dyDescent="0.3">
      <c r="A457" s="67" t="s">
        <v>497</v>
      </c>
      <c r="B457" s="67" t="s">
        <v>498</v>
      </c>
      <c r="C457" s="67" t="s">
        <v>499</v>
      </c>
      <c r="D457" s="67">
        <v>14.25</v>
      </c>
    </row>
    <row r="458" spans="1:4" x14ac:dyDescent="0.3">
      <c r="A458" s="67" t="s">
        <v>500</v>
      </c>
      <c r="B458" s="67" t="s">
        <v>501</v>
      </c>
      <c r="C458" s="67" t="s">
        <v>487</v>
      </c>
      <c r="D458" s="67">
        <v>24.9</v>
      </c>
    </row>
    <row r="459" spans="1:4" x14ac:dyDescent="0.3">
      <c r="A459" s="67"/>
      <c r="B459" s="67"/>
      <c r="C459" s="67"/>
      <c r="D459" s="67"/>
    </row>
    <row r="460" spans="1:4" x14ac:dyDescent="0.3">
      <c r="A460" s="18" t="s">
        <v>502</v>
      </c>
      <c r="B460" s="36" t="s">
        <v>503</v>
      </c>
      <c r="C460" s="67"/>
      <c r="D460" s="67"/>
    </row>
    <row r="461" spans="1:4" x14ac:dyDescent="0.3">
      <c r="A461" s="18" t="s">
        <v>504</v>
      </c>
      <c r="B461" s="8" t="str">
        <f>_xlfn.XLOOKUP("*"&amp;B460&amp;"*",B451:B458,B451:B458,,2)</f>
        <v>Citrus Surface Cleaner</v>
      </c>
      <c r="C461" s="67"/>
      <c r="D461" s="67"/>
    </row>
    <row r="462" spans="1:4" x14ac:dyDescent="0.3">
      <c r="A462" s="18" t="s">
        <v>482</v>
      </c>
      <c r="B462" s="8">
        <f>_xlfn.XLOOKUP("*"&amp;B460&amp;"*",B451:B458,D451:D458,,2)</f>
        <v>12.6</v>
      </c>
      <c r="C462" s="67"/>
      <c r="D462" s="67"/>
    </row>
    <row r="464" spans="1:4" x14ac:dyDescent="0.3">
      <c r="B464" s="3" t="str">
        <f ca="1">_xlfn.FORMULATEXT(B461)</f>
        <v>=XLOOKUP("*"&amp;B460&amp;"*",B451:B458,B451:B458,,2)</v>
      </c>
    </row>
    <row r="465" spans="1:8" x14ac:dyDescent="0.3">
      <c r="A465" s="67"/>
      <c r="B465" s="67"/>
      <c r="C465" s="67"/>
      <c r="D465" s="67"/>
      <c r="E465" s="67"/>
      <c r="F465" s="67"/>
      <c r="G465" s="67"/>
      <c r="H465" s="67"/>
    </row>
    <row r="466" spans="1:8" x14ac:dyDescent="0.3">
      <c r="A466" s="22" t="s">
        <v>506</v>
      </c>
      <c r="B466" s="67"/>
      <c r="C466" s="67"/>
      <c r="D466" s="67"/>
      <c r="E466" s="67"/>
      <c r="F466" s="67"/>
      <c r="G466" s="67"/>
      <c r="H466" s="67"/>
    </row>
    <row r="467" spans="1:8" ht="46.8" x14ac:dyDescent="0.3">
      <c r="A467" s="67" t="s">
        <v>507</v>
      </c>
      <c r="B467" s="67"/>
      <c r="C467" s="67"/>
      <c r="D467" s="67"/>
      <c r="E467" s="67"/>
      <c r="F467" s="67"/>
      <c r="G467" s="67"/>
      <c r="H467" s="67"/>
    </row>
    <row r="468" spans="1:8" ht="62.4" x14ac:dyDescent="0.3">
      <c r="A468" s="67" t="s">
        <v>508</v>
      </c>
      <c r="B468" s="67"/>
      <c r="C468" s="67"/>
      <c r="D468" s="67"/>
      <c r="E468" s="67"/>
      <c r="F468" s="67"/>
      <c r="G468" s="67"/>
      <c r="H468" s="67"/>
    </row>
    <row r="469" spans="1:8" x14ac:dyDescent="0.3">
      <c r="A469" s="67"/>
      <c r="B469" s="67"/>
      <c r="C469" s="67"/>
      <c r="D469" s="67"/>
      <c r="E469" s="67"/>
      <c r="F469" s="67"/>
      <c r="G469" s="67"/>
      <c r="H469" s="67"/>
    </row>
    <row r="470" spans="1:8" x14ac:dyDescent="0.3">
      <c r="A470" s="13" t="s">
        <v>202</v>
      </c>
      <c r="B470" s="13" t="s">
        <v>46</v>
      </c>
      <c r="C470" s="13" t="s">
        <v>509</v>
      </c>
      <c r="D470" s="67"/>
      <c r="E470" s="67"/>
      <c r="F470" s="67"/>
      <c r="G470" s="67"/>
      <c r="H470" s="67"/>
    </row>
    <row r="471" spans="1:8" x14ac:dyDescent="0.3">
      <c r="A471" s="67" t="s">
        <v>510</v>
      </c>
      <c r="B471" s="67" t="s">
        <v>511</v>
      </c>
      <c r="C471" s="67">
        <v>120</v>
      </c>
      <c r="D471" s="67"/>
      <c r="E471" s="67"/>
      <c r="F471" s="67"/>
      <c r="G471" s="67"/>
      <c r="H471" s="67"/>
    </row>
    <row r="472" spans="1:8" x14ac:dyDescent="0.3">
      <c r="A472" s="67" t="s">
        <v>512</v>
      </c>
      <c r="B472" s="67" t="s">
        <v>513</v>
      </c>
      <c r="C472" s="67">
        <v>50</v>
      </c>
      <c r="D472" s="67"/>
      <c r="E472" s="67"/>
      <c r="F472" s="67"/>
      <c r="G472" s="67"/>
      <c r="H472" s="67"/>
    </row>
    <row r="473" spans="1:8" x14ac:dyDescent="0.3">
      <c r="A473" s="67" t="s">
        <v>514</v>
      </c>
      <c r="B473" s="67" t="s">
        <v>515</v>
      </c>
      <c r="C473" s="67">
        <v>0</v>
      </c>
      <c r="D473" s="67"/>
      <c r="E473" s="67"/>
      <c r="F473" s="67"/>
      <c r="G473" s="67"/>
      <c r="H473" s="67"/>
    </row>
    <row r="474" spans="1:8" x14ac:dyDescent="0.3">
      <c r="A474" s="67"/>
      <c r="B474" s="67"/>
      <c r="C474" s="67"/>
      <c r="D474" s="67"/>
      <c r="E474" s="67"/>
      <c r="F474" s="67"/>
      <c r="G474" s="67"/>
      <c r="H474" s="67"/>
    </row>
    <row r="475" spans="1:8" x14ac:dyDescent="0.3">
      <c r="A475" s="67" t="s">
        <v>516</v>
      </c>
      <c r="B475" s="37" t="s">
        <v>517</v>
      </c>
      <c r="C475" s="67"/>
      <c r="D475" s="67"/>
      <c r="E475" s="67"/>
      <c r="F475" s="67"/>
      <c r="G475" s="67"/>
      <c r="H475" s="67"/>
    </row>
    <row r="476" spans="1:8" x14ac:dyDescent="0.3">
      <c r="A476" s="38" t="s">
        <v>518</v>
      </c>
      <c r="B476" s="8" t="str">
        <f>_xlfn.IFNA(VLOOKUP(B475,A471:C473,2,0),"Not Found")</f>
        <v>Not Found</v>
      </c>
      <c r="C476" s="71" t="str">
        <f ca="1">_xlfn.FORMULATEXT(B476)</f>
        <v>=IFNA(VLOOKUP(B475,A471:C473,2,0),"Not Found")</v>
      </c>
      <c r="D476" s="71"/>
      <c r="E476" s="71"/>
      <c r="F476" s="67"/>
      <c r="G476" s="67"/>
      <c r="H476" s="67"/>
    </row>
    <row r="477" spans="1:8" x14ac:dyDescent="0.3">
      <c r="A477" s="38" t="s">
        <v>519</v>
      </c>
      <c r="B477" s="8" t="str">
        <f>_xlfn.XLOOKUP(B475,A471:A473,B471:B473,"Not Found")</f>
        <v>Not Found</v>
      </c>
      <c r="C477" s="71" t="str">
        <f ca="1">_xlfn.FORMULATEXT(B477)</f>
        <v>=XLOOKUP(B475,A471:A473,B471:B473,"Not Found")</v>
      </c>
      <c r="D477" s="71"/>
      <c r="E477" s="71"/>
      <c r="F477" s="67"/>
      <c r="G477" s="67"/>
      <c r="H477" s="67"/>
    </row>
    <row r="478" spans="1:8" x14ac:dyDescent="0.3">
      <c r="A478" s="67"/>
      <c r="B478" s="67"/>
      <c r="C478" s="67"/>
      <c r="D478" s="67"/>
      <c r="E478" s="67"/>
      <c r="F478" s="67"/>
      <c r="G478" s="67"/>
      <c r="H478" s="67"/>
    </row>
    <row r="479" spans="1:8" x14ac:dyDescent="0.3">
      <c r="A479" s="67"/>
      <c r="B479" s="67"/>
      <c r="C479" s="67"/>
      <c r="D479" s="67"/>
      <c r="E479" s="67"/>
      <c r="F479" s="67"/>
      <c r="G479" s="67"/>
      <c r="H479" s="67"/>
    </row>
    <row r="480" spans="1:8" x14ac:dyDescent="0.3">
      <c r="A480" s="22" t="s">
        <v>545</v>
      </c>
      <c r="B480" s="67"/>
      <c r="C480" s="67"/>
      <c r="D480" s="67"/>
      <c r="E480" s="67"/>
      <c r="F480" s="67"/>
      <c r="G480" s="67"/>
      <c r="H480" s="67"/>
    </row>
    <row r="481" spans="1:8" ht="140.4" x14ac:dyDescent="0.3">
      <c r="A481" s="67" t="s">
        <v>546</v>
      </c>
      <c r="B481" s="67"/>
      <c r="C481" s="67"/>
      <c r="D481" s="67"/>
      <c r="E481" s="67"/>
      <c r="F481" s="67"/>
      <c r="G481" s="67"/>
      <c r="H481" s="67"/>
    </row>
    <row r="482" spans="1:8" ht="62.4" x14ac:dyDescent="0.3">
      <c r="A482" s="67" t="s">
        <v>547</v>
      </c>
      <c r="B482" s="67"/>
      <c r="C482" s="67"/>
      <c r="D482" s="67"/>
      <c r="E482" s="67"/>
      <c r="F482" s="67"/>
      <c r="G482" s="67"/>
      <c r="H482" s="67"/>
    </row>
    <row r="483" spans="1:8" x14ac:dyDescent="0.3">
      <c r="A483" s="67"/>
      <c r="B483" s="67"/>
      <c r="C483" s="67"/>
      <c r="D483" s="67"/>
      <c r="E483" s="67"/>
      <c r="F483" s="67"/>
      <c r="G483" s="67"/>
      <c r="H483" s="67"/>
    </row>
    <row r="484" spans="1:8" x14ac:dyDescent="0.3">
      <c r="A484" s="13" t="s">
        <v>520</v>
      </c>
      <c r="B484" s="13" t="s">
        <v>113</v>
      </c>
      <c r="C484" s="13" t="s">
        <v>521</v>
      </c>
      <c r="D484" s="13" t="s">
        <v>522</v>
      </c>
      <c r="E484" s="67"/>
      <c r="F484" s="67"/>
      <c r="G484" s="67"/>
      <c r="H484" s="67"/>
    </row>
    <row r="485" spans="1:8" x14ac:dyDescent="0.3">
      <c r="A485" s="67" t="s">
        <v>523</v>
      </c>
      <c r="B485" s="67" t="s">
        <v>524</v>
      </c>
      <c r="C485" s="67" t="s">
        <v>525</v>
      </c>
      <c r="D485" s="67" t="s">
        <v>526</v>
      </c>
      <c r="E485" s="67"/>
      <c r="F485" s="67"/>
      <c r="G485" s="67"/>
      <c r="H485" s="67"/>
    </row>
    <row r="486" spans="1:8" x14ac:dyDescent="0.3">
      <c r="A486" s="67" t="s">
        <v>523</v>
      </c>
      <c r="B486" s="67" t="s">
        <v>117</v>
      </c>
      <c r="C486" s="67" t="s">
        <v>525</v>
      </c>
      <c r="D486" s="67" t="s">
        <v>526</v>
      </c>
      <c r="E486" s="67"/>
      <c r="F486" s="67"/>
      <c r="G486" s="67"/>
      <c r="H486" s="67"/>
    </row>
    <row r="487" spans="1:8" x14ac:dyDescent="0.3">
      <c r="A487" s="67" t="s">
        <v>527</v>
      </c>
      <c r="B487" s="67" t="s">
        <v>528</v>
      </c>
      <c r="C487" s="67" t="s">
        <v>356</v>
      </c>
      <c r="D487" s="67" t="s">
        <v>529</v>
      </c>
      <c r="E487" s="67"/>
      <c r="F487" s="67"/>
      <c r="G487" s="67"/>
      <c r="H487" s="67"/>
    </row>
    <row r="488" spans="1:8" x14ac:dyDescent="0.3">
      <c r="A488" s="67" t="s">
        <v>527</v>
      </c>
      <c r="B488" s="67" t="s">
        <v>530</v>
      </c>
      <c r="C488" s="67" t="s">
        <v>356</v>
      </c>
      <c r="D488" s="67" t="s">
        <v>529</v>
      </c>
      <c r="E488" s="67"/>
      <c r="F488" s="67"/>
      <c r="G488" s="67"/>
      <c r="H488" s="67"/>
    </row>
    <row r="489" spans="1:8" x14ac:dyDescent="0.3">
      <c r="A489" s="67" t="s">
        <v>124</v>
      </c>
      <c r="B489" s="67" t="s">
        <v>531</v>
      </c>
      <c r="C489" s="67" t="s">
        <v>532</v>
      </c>
      <c r="D489" s="67" t="s">
        <v>526</v>
      </c>
      <c r="E489" s="67"/>
      <c r="F489" s="67"/>
      <c r="G489" s="67"/>
      <c r="H489" s="67"/>
    </row>
    <row r="490" spans="1:8" x14ac:dyDescent="0.3">
      <c r="A490" s="67" t="s">
        <v>124</v>
      </c>
      <c r="B490" s="67" t="s">
        <v>533</v>
      </c>
      <c r="C490" s="67" t="s">
        <v>532</v>
      </c>
      <c r="D490" s="67" t="s">
        <v>526</v>
      </c>
      <c r="E490" s="67"/>
      <c r="F490" s="67"/>
      <c r="G490" s="67"/>
      <c r="H490" s="67"/>
    </row>
    <row r="491" spans="1:8" x14ac:dyDescent="0.3">
      <c r="A491" s="67" t="s">
        <v>534</v>
      </c>
      <c r="B491" s="67" t="s">
        <v>535</v>
      </c>
      <c r="C491" s="67" t="s">
        <v>536</v>
      </c>
      <c r="D491" s="67" t="s">
        <v>537</v>
      </c>
      <c r="E491" s="67"/>
    </row>
    <row r="492" spans="1:8" x14ac:dyDescent="0.3">
      <c r="A492" s="67" t="s">
        <v>534</v>
      </c>
      <c r="B492" s="67" t="s">
        <v>538</v>
      </c>
      <c r="C492" s="67" t="s">
        <v>536</v>
      </c>
      <c r="D492" s="67" t="s">
        <v>537</v>
      </c>
      <c r="E492" s="67"/>
    </row>
    <row r="493" spans="1:8" x14ac:dyDescent="0.3">
      <c r="A493" s="67"/>
      <c r="B493" s="67"/>
      <c r="C493" s="67"/>
      <c r="D493" s="67"/>
      <c r="E493" s="67"/>
    </row>
    <row r="494" spans="1:8" x14ac:dyDescent="0.3">
      <c r="A494" s="39" t="s">
        <v>539</v>
      </c>
      <c r="B494" s="67"/>
      <c r="C494" s="67"/>
      <c r="D494" s="67"/>
      <c r="E494" s="67"/>
    </row>
    <row r="495" spans="1:8" x14ac:dyDescent="0.3">
      <c r="A495" s="39" t="s">
        <v>113</v>
      </c>
      <c r="B495" s="39" t="s">
        <v>540</v>
      </c>
      <c r="C495" s="39" t="s">
        <v>541</v>
      </c>
      <c r="D495" s="67"/>
      <c r="E495" s="67"/>
    </row>
    <row r="496" spans="1:8" x14ac:dyDescent="0.3">
      <c r="A496" s="67" t="s">
        <v>530</v>
      </c>
      <c r="B496" s="39" t="str">
        <f>INDEX(A485:A492,MATCH(A496,B485:B492,0))</f>
        <v>Thomas Nguyen</v>
      </c>
      <c r="C496" s="67" t="s">
        <v>542</v>
      </c>
      <c r="D496" s="67"/>
      <c r="E496" s="67"/>
    </row>
    <row r="497" spans="1:5" x14ac:dyDescent="0.3">
      <c r="A497" s="67" t="s">
        <v>535</v>
      </c>
      <c r="B497" s="39" t="str">
        <f>INDEX(A485:A492,MATCH(A497,B485:B492,0))</f>
        <v>David Brown</v>
      </c>
      <c r="C497" s="67" t="s">
        <v>543</v>
      </c>
      <c r="D497" s="67"/>
      <c r="E497" s="67"/>
    </row>
    <row r="498" spans="1:5" x14ac:dyDescent="0.3">
      <c r="A498" s="67" t="s">
        <v>117</v>
      </c>
      <c r="B498" s="39" t="str">
        <f>INDEX(A485:A492,MATCH(A498,B485:B492,0))</f>
        <v>Maria Gomez</v>
      </c>
      <c r="C498" s="67" t="s">
        <v>544</v>
      </c>
      <c r="D498" s="67"/>
      <c r="E498" s="67"/>
    </row>
    <row r="499" spans="1:5" x14ac:dyDescent="0.3">
      <c r="A499" s="67"/>
      <c r="B499" s="67"/>
      <c r="C499" s="67"/>
      <c r="D499" s="67"/>
      <c r="E499" s="67"/>
    </row>
    <row r="500" spans="1:5" x14ac:dyDescent="0.3">
      <c r="A500" s="67"/>
      <c r="B500" s="71" t="str">
        <f ca="1">_xlfn.FORMULATEXT(B496)</f>
        <v>=INDEX(A485:A492,MATCH(A496,B485:B492,0))</v>
      </c>
      <c r="C500" s="71"/>
      <c r="D500" s="67"/>
      <c r="E500" s="67"/>
    </row>
    <row r="501" spans="1:5" x14ac:dyDescent="0.3">
      <c r="A501" s="67"/>
      <c r="B501" s="67"/>
      <c r="C501" s="67"/>
      <c r="D501" s="67"/>
      <c r="E501" s="67"/>
    </row>
    <row r="502" spans="1:5" x14ac:dyDescent="0.3">
      <c r="A502" s="22" t="s">
        <v>548</v>
      </c>
      <c r="B502" s="67"/>
      <c r="C502" s="67"/>
      <c r="D502" s="67"/>
      <c r="E502" s="67"/>
    </row>
    <row r="503" spans="1:5" ht="31.2" x14ac:dyDescent="0.3">
      <c r="A503" s="67" t="s">
        <v>549</v>
      </c>
      <c r="B503" s="67"/>
      <c r="C503" s="67"/>
      <c r="D503" s="67"/>
      <c r="E503" s="67"/>
    </row>
    <row r="504" spans="1:5" x14ac:dyDescent="0.3">
      <c r="A504" s="67"/>
      <c r="B504" s="67"/>
      <c r="C504" s="67"/>
      <c r="D504" s="67"/>
      <c r="E504" s="67"/>
    </row>
    <row r="505" spans="1:5" x14ac:dyDescent="0.3">
      <c r="A505" s="67" t="s">
        <v>550</v>
      </c>
    </row>
    <row r="506" spans="1:5" x14ac:dyDescent="0.3">
      <c r="A506" s="67"/>
    </row>
    <row r="507" spans="1:5" x14ac:dyDescent="0.3">
      <c r="A507" s="67" t="s">
        <v>591</v>
      </c>
    </row>
    <row r="508" spans="1:5" x14ac:dyDescent="0.3">
      <c r="A508" s="67" t="s">
        <v>592</v>
      </c>
    </row>
    <row r="509" spans="1:5" x14ac:dyDescent="0.3">
      <c r="A509" s="67"/>
    </row>
    <row r="510" spans="1:5" x14ac:dyDescent="0.3">
      <c r="A510" s="67" t="s">
        <v>593</v>
      </c>
    </row>
    <row r="511" spans="1:5" x14ac:dyDescent="0.3">
      <c r="A511" s="67"/>
    </row>
    <row r="512" spans="1:5" x14ac:dyDescent="0.3">
      <c r="A512" s="67" t="s">
        <v>551</v>
      </c>
    </row>
    <row r="513" spans="1:4" x14ac:dyDescent="0.3">
      <c r="A513" s="67"/>
    </row>
    <row r="514" spans="1:4" x14ac:dyDescent="0.3">
      <c r="A514" s="67" t="s">
        <v>594</v>
      </c>
    </row>
    <row r="515" spans="1:4" x14ac:dyDescent="0.3">
      <c r="A515" s="67" t="s">
        <v>595</v>
      </c>
    </row>
    <row r="516" spans="1:4" x14ac:dyDescent="0.3">
      <c r="A516" s="67"/>
    </row>
    <row r="517" spans="1:4" x14ac:dyDescent="0.3">
      <c r="A517" s="67" t="s">
        <v>552</v>
      </c>
    </row>
    <row r="519" spans="1:4" x14ac:dyDescent="0.3">
      <c r="A519" s="10" t="s">
        <v>553</v>
      </c>
      <c r="B519" s="10" t="s">
        <v>403</v>
      </c>
      <c r="C519" s="10" t="s">
        <v>404</v>
      </c>
      <c r="D519" s="10" t="s">
        <v>554</v>
      </c>
    </row>
    <row r="520" spans="1:4" s="67" customFormat="1" x14ac:dyDescent="0.3">
      <c r="A520" s="67" t="s">
        <v>555</v>
      </c>
      <c r="B520" s="67" t="s">
        <v>556</v>
      </c>
      <c r="C520" s="67" t="s">
        <v>557</v>
      </c>
      <c r="D520" s="67" t="s">
        <v>558</v>
      </c>
    </row>
    <row r="521" spans="1:4" s="67" customFormat="1" x14ac:dyDescent="0.3">
      <c r="A521" s="67" t="s">
        <v>559</v>
      </c>
      <c r="B521" s="67" t="s">
        <v>560</v>
      </c>
      <c r="C521" s="67" t="s">
        <v>561</v>
      </c>
      <c r="D521" s="67" t="s">
        <v>558</v>
      </c>
    </row>
    <row r="522" spans="1:4" s="67" customFormat="1" x14ac:dyDescent="0.3">
      <c r="A522" s="67" t="s">
        <v>562</v>
      </c>
      <c r="B522" s="67" t="s">
        <v>563</v>
      </c>
      <c r="C522" s="67" t="s">
        <v>564</v>
      </c>
      <c r="D522" s="67" t="s">
        <v>565</v>
      </c>
    </row>
    <row r="523" spans="1:4" s="67" customFormat="1" x14ac:dyDescent="0.3">
      <c r="A523" s="67" t="s">
        <v>566</v>
      </c>
      <c r="B523" s="67" t="s">
        <v>567</v>
      </c>
      <c r="C523" s="67" t="s">
        <v>568</v>
      </c>
      <c r="D523" s="67" t="s">
        <v>569</v>
      </c>
    </row>
    <row r="524" spans="1:4" s="67" customFormat="1" x14ac:dyDescent="0.3">
      <c r="A524" s="67" t="s">
        <v>570</v>
      </c>
      <c r="B524" s="67" t="s">
        <v>571</v>
      </c>
      <c r="C524" s="67" t="s">
        <v>572</v>
      </c>
      <c r="D524" s="67" t="s">
        <v>565</v>
      </c>
    </row>
    <row r="525" spans="1:4" s="67" customFormat="1" x14ac:dyDescent="0.3">
      <c r="A525" s="67" t="s">
        <v>573</v>
      </c>
      <c r="B525" s="67" t="s">
        <v>574</v>
      </c>
      <c r="C525" s="67" t="s">
        <v>575</v>
      </c>
      <c r="D525" s="67" t="s">
        <v>558</v>
      </c>
    </row>
    <row r="526" spans="1:4" s="67" customFormat="1" x14ac:dyDescent="0.3">
      <c r="A526" s="67" t="s">
        <v>576</v>
      </c>
      <c r="B526" s="67" t="s">
        <v>577</v>
      </c>
      <c r="C526" s="67" t="s">
        <v>578</v>
      </c>
      <c r="D526" s="67" t="s">
        <v>569</v>
      </c>
    </row>
    <row r="527" spans="1:4" s="67" customFormat="1" x14ac:dyDescent="0.3">
      <c r="A527" s="67" t="s">
        <v>579</v>
      </c>
      <c r="B527" s="67" t="s">
        <v>580</v>
      </c>
      <c r="C527" s="67" t="s">
        <v>581</v>
      </c>
      <c r="D527" s="67" t="s">
        <v>565</v>
      </c>
    </row>
    <row r="528" spans="1:4" x14ac:dyDescent="0.3">
      <c r="A528" s="67"/>
      <c r="B528" s="67"/>
      <c r="C528" s="67"/>
      <c r="D528" s="67"/>
    </row>
    <row r="529" spans="1:5" x14ac:dyDescent="0.3">
      <c r="A529" s="40" t="s">
        <v>582</v>
      </c>
      <c r="B529" s="40" t="s">
        <v>403</v>
      </c>
      <c r="C529" s="40" t="s">
        <v>583</v>
      </c>
      <c r="D529" s="40" t="s">
        <v>584</v>
      </c>
    </row>
    <row r="530" spans="1:5" s="67" customFormat="1" x14ac:dyDescent="0.3">
      <c r="A530" s="67" t="s">
        <v>585</v>
      </c>
      <c r="B530" s="67" t="s">
        <v>577</v>
      </c>
      <c r="C530" s="8" t="str">
        <f>INDEX(A520:A527,MATCH(B530,B520:B527,0))</f>
        <v>ingrid.larsen@northwind.com</v>
      </c>
      <c r="D530" s="67" t="s">
        <v>586</v>
      </c>
    </row>
    <row r="531" spans="1:5" s="67" customFormat="1" ht="31.2" x14ac:dyDescent="0.3">
      <c r="A531" s="67" t="s">
        <v>587</v>
      </c>
      <c r="B531" s="67" t="s">
        <v>560</v>
      </c>
      <c r="C531" s="8" t="str">
        <f t="shared" ref="C531:C532" si="19">INDEX(A521:A528,MATCH(B531,B521:B528,0))</f>
        <v>bianca.chen@northwind.com</v>
      </c>
      <c r="D531" s="67" t="s">
        <v>588</v>
      </c>
    </row>
    <row r="532" spans="1:5" s="67" customFormat="1" ht="31.2" x14ac:dyDescent="0.3">
      <c r="A532" s="67" t="s">
        <v>589</v>
      </c>
      <c r="B532" s="67" t="s">
        <v>563</v>
      </c>
      <c r="C532" s="8" t="str">
        <f t="shared" si="19"/>
        <v>diego.souza@northwind.com</v>
      </c>
      <c r="D532" s="67" t="s">
        <v>590</v>
      </c>
    </row>
    <row r="533" spans="1:5" s="67" customFormat="1" x14ac:dyDescent="0.3"/>
    <row r="534" spans="1:5" s="67" customFormat="1" ht="31.2" x14ac:dyDescent="0.3">
      <c r="C534" s="67" t="str">
        <f ca="1">_xlfn.FORMULATEXT(C530)</f>
        <v>=INDEX(A520:A527,MATCH(B530,B520:B527,0))</v>
      </c>
    </row>
    <row r="536" spans="1:5" x14ac:dyDescent="0.3">
      <c r="A536" s="22" t="s">
        <v>596</v>
      </c>
    </row>
    <row r="537" spans="1:5" ht="140.4" x14ac:dyDescent="0.3">
      <c r="A537" s="5" t="s">
        <v>597</v>
      </c>
    </row>
    <row r="539" spans="1:5" x14ac:dyDescent="0.3">
      <c r="A539" s="10" t="s">
        <v>383</v>
      </c>
      <c r="B539" s="10" t="s">
        <v>598</v>
      </c>
      <c r="C539" s="10" t="s">
        <v>599</v>
      </c>
      <c r="D539" s="10" t="s">
        <v>600</v>
      </c>
      <c r="E539" s="10" t="s">
        <v>601</v>
      </c>
    </row>
    <row r="540" spans="1:5" x14ac:dyDescent="0.3">
      <c r="A540" s="67" t="s">
        <v>602</v>
      </c>
      <c r="B540" s="67">
        <v>5</v>
      </c>
      <c r="C540" s="67">
        <v>7</v>
      </c>
      <c r="D540" s="67">
        <v>10</v>
      </c>
      <c r="E540" s="67">
        <v>14</v>
      </c>
    </row>
    <row r="541" spans="1:5" x14ac:dyDescent="0.3">
      <c r="A541" s="67" t="s">
        <v>603</v>
      </c>
      <c r="B541" s="67">
        <v>9</v>
      </c>
      <c r="C541" s="67">
        <v>12</v>
      </c>
      <c r="D541" s="67">
        <v>16</v>
      </c>
      <c r="E541" s="67">
        <v>22</v>
      </c>
    </row>
    <row r="542" spans="1:5" x14ac:dyDescent="0.3">
      <c r="A542" s="67" t="s">
        <v>604</v>
      </c>
      <c r="B542" s="67">
        <v>14</v>
      </c>
      <c r="C542" s="67">
        <v>19</v>
      </c>
      <c r="D542" s="67">
        <v>28</v>
      </c>
      <c r="E542" s="67">
        <v>40</v>
      </c>
    </row>
    <row r="543" spans="1:5" x14ac:dyDescent="0.3">
      <c r="A543" s="67" t="s">
        <v>605</v>
      </c>
      <c r="B543" s="67">
        <v>24</v>
      </c>
      <c r="C543" s="67">
        <v>33</v>
      </c>
      <c r="D543" s="67">
        <v>48</v>
      </c>
      <c r="E543" s="67">
        <v>68</v>
      </c>
    </row>
    <row r="544" spans="1:5" x14ac:dyDescent="0.3">
      <c r="A544" s="67" t="s">
        <v>606</v>
      </c>
      <c r="B544" s="67">
        <v>30</v>
      </c>
      <c r="C544" s="67">
        <v>42</v>
      </c>
      <c r="D544" s="67">
        <v>60</v>
      </c>
      <c r="E544" s="67">
        <v>85</v>
      </c>
    </row>
    <row r="545" spans="1:5" x14ac:dyDescent="0.3">
      <c r="A545" s="67"/>
      <c r="B545" s="67"/>
      <c r="C545" s="67"/>
      <c r="D545" s="67"/>
      <c r="E545" s="67"/>
    </row>
    <row r="546" spans="1:5" x14ac:dyDescent="0.3">
      <c r="A546" s="67" t="s">
        <v>607</v>
      </c>
      <c r="B546" s="67" t="s">
        <v>604</v>
      </c>
      <c r="C546" s="67"/>
      <c r="D546" s="67"/>
      <c r="E546" s="67"/>
    </row>
    <row r="547" spans="1:5" x14ac:dyDescent="0.3">
      <c r="A547" s="67" t="s">
        <v>608</v>
      </c>
      <c r="B547" s="67" t="s">
        <v>600</v>
      </c>
      <c r="C547" s="67"/>
      <c r="D547" s="67"/>
      <c r="E547" s="67"/>
    </row>
    <row r="548" spans="1:5" x14ac:dyDescent="0.3">
      <c r="A548" s="67" t="s">
        <v>609</v>
      </c>
      <c r="B548" s="8">
        <f>INDEX(B540:E544,MATCH(B546,A540:A544),MATCH(B547,B539:E539,0))</f>
        <v>28</v>
      </c>
      <c r="C548" s="67"/>
      <c r="D548" s="67"/>
      <c r="E548" s="67"/>
    </row>
    <row r="550" spans="1:5" x14ac:dyDescent="0.3">
      <c r="B550" s="74" t="str">
        <f ca="1">_xlfn.FORMULATEXT(B548)</f>
        <v>=INDEX(B540:E544,MATCH(B546,A540:A544),MATCH(B547,B539:E539,0))</v>
      </c>
    </row>
    <row r="551" spans="1:5" x14ac:dyDescent="0.3">
      <c r="B551" s="74"/>
    </row>
    <row r="552" spans="1:5" x14ac:dyDescent="0.3">
      <c r="B552" s="74"/>
    </row>
    <row r="553" spans="1:5" x14ac:dyDescent="0.3">
      <c r="A553" s="22" t="s">
        <v>610</v>
      </c>
    </row>
    <row r="554" spans="1:5" ht="124.8" x14ac:dyDescent="0.3">
      <c r="A554" s="5" t="s">
        <v>611</v>
      </c>
    </row>
    <row r="555" spans="1:5" ht="187.2" x14ac:dyDescent="0.3">
      <c r="A555" s="5" t="s">
        <v>612</v>
      </c>
    </row>
    <row r="556" spans="1:5" s="5" customFormat="1" x14ac:dyDescent="0.3"/>
    <row r="557" spans="1:5" s="5" customFormat="1" x14ac:dyDescent="0.3">
      <c r="A557" s="5" t="s">
        <v>46</v>
      </c>
      <c r="B557" s="5" t="s">
        <v>314</v>
      </c>
      <c r="C557" s="5" t="s">
        <v>315</v>
      </c>
      <c r="D557" s="5" t="s">
        <v>316</v>
      </c>
      <c r="E557" s="5" t="s">
        <v>317</v>
      </c>
    </row>
    <row r="558" spans="1:5" s="5" customFormat="1" x14ac:dyDescent="0.3">
      <c r="A558" s="5" t="s">
        <v>614</v>
      </c>
      <c r="B558" s="5">
        <v>25.99</v>
      </c>
      <c r="C558" s="5">
        <v>27.49</v>
      </c>
      <c r="D558" s="5">
        <v>26.99</v>
      </c>
      <c r="E558" s="5">
        <v>28.99</v>
      </c>
    </row>
    <row r="559" spans="1:5" s="5" customFormat="1" x14ac:dyDescent="0.3">
      <c r="A559" s="5" t="s">
        <v>615</v>
      </c>
      <c r="B559" s="5">
        <v>34.5</v>
      </c>
      <c r="C559" s="5">
        <v>35</v>
      </c>
      <c r="D559" s="5">
        <v>36.25</v>
      </c>
      <c r="E559" s="5">
        <v>37</v>
      </c>
    </row>
    <row r="560" spans="1:5" s="5" customFormat="1" x14ac:dyDescent="0.3">
      <c r="A560" s="5" t="s">
        <v>617</v>
      </c>
      <c r="B560" s="5">
        <v>18.75</v>
      </c>
      <c r="C560" s="5">
        <v>19.25</v>
      </c>
      <c r="D560" s="5">
        <v>19</v>
      </c>
      <c r="E560" s="5">
        <v>20.5</v>
      </c>
    </row>
    <row r="561" spans="1:5" s="5" customFormat="1" x14ac:dyDescent="0.3">
      <c r="A561" s="5" t="s">
        <v>618</v>
      </c>
      <c r="B561" s="5">
        <v>42</v>
      </c>
      <c r="C561" s="5">
        <v>43.5</v>
      </c>
      <c r="D561" s="5">
        <v>44</v>
      </c>
      <c r="E561" s="5">
        <v>45.25</v>
      </c>
    </row>
    <row r="562" spans="1:5" s="5" customFormat="1" x14ac:dyDescent="0.3">
      <c r="A562" s="5" t="s">
        <v>620</v>
      </c>
      <c r="B562" s="5">
        <v>56.99</v>
      </c>
      <c r="C562" s="5">
        <v>58.49</v>
      </c>
      <c r="D562" s="5">
        <v>59.99</v>
      </c>
      <c r="E562" s="5">
        <v>61.5</v>
      </c>
    </row>
    <row r="563" spans="1:5" s="5" customFormat="1" x14ac:dyDescent="0.3">
      <c r="A563" s="5" t="s">
        <v>621</v>
      </c>
      <c r="B563" s="5">
        <v>12.25</v>
      </c>
      <c r="C563" s="5">
        <v>12.75</v>
      </c>
      <c r="D563" s="5">
        <v>13</v>
      </c>
      <c r="E563" s="5">
        <v>13.5</v>
      </c>
    </row>
    <row r="564" spans="1:5" s="5" customFormat="1" x14ac:dyDescent="0.3">
      <c r="A564" s="5" t="s">
        <v>622</v>
      </c>
      <c r="B564" s="5">
        <v>89.99</v>
      </c>
      <c r="C564" s="5">
        <v>92.5</v>
      </c>
      <c r="D564" s="5">
        <v>94</v>
      </c>
      <c r="E564" s="5">
        <v>96.75</v>
      </c>
    </row>
    <row r="565" spans="1:5" s="5" customFormat="1" x14ac:dyDescent="0.3"/>
    <row r="566" spans="1:5" s="5" customFormat="1" x14ac:dyDescent="0.3"/>
    <row r="567" spans="1:5" s="5" customFormat="1" x14ac:dyDescent="0.3">
      <c r="A567" s="5" t="s">
        <v>613</v>
      </c>
    </row>
    <row r="568" spans="1:5" s="5" customFormat="1" x14ac:dyDescent="0.3">
      <c r="A568" s="5" t="s">
        <v>623</v>
      </c>
      <c r="B568" s="5" t="s">
        <v>618</v>
      </c>
    </row>
    <row r="569" spans="1:5" s="5" customFormat="1" x14ac:dyDescent="0.3">
      <c r="A569" s="5" t="s">
        <v>616</v>
      </c>
      <c r="B569" s="5" t="s">
        <v>316</v>
      </c>
    </row>
    <row r="570" spans="1:5" s="5" customFormat="1" x14ac:dyDescent="0.3"/>
    <row r="571" spans="1:5" s="5" customFormat="1" x14ac:dyDescent="0.3">
      <c r="A571" s="5" t="s">
        <v>619</v>
      </c>
      <c r="B571" s="8" cm="1">
        <f t="array" ref="B571">_xlfn.XLOOKUP(B568,A558:A564,_xlfn.XLOOKUP(B569,B557:E557,B558:E564))</f>
        <v>44</v>
      </c>
    </row>
    <row r="572" spans="1:5" s="5" customFormat="1" ht="13.8" customHeight="1" x14ac:dyDescent="0.3">
      <c r="B572" s="71" t="str">
        <f ca="1">_xlfn.FORMULATEXT(B571)</f>
        <v>=XLOOKUP(B568,A558:A564,XLOOKUP(B569,B557:E557,B558:E564))</v>
      </c>
    </row>
    <row r="573" spans="1:5" s="5" customFormat="1" x14ac:dyDescent="0.3">
      <c r="B573" s="71"/>
    </row>
    <row r="574" spans="1:5" s="5" customFormat="1" x14ac:dyDescent="0.3">
      <c r="B574" s="71"/>
    </row>
    <row r="575" spans="1:5" s="5" customFormat="1" x14ac:dyDescent="0.3">
      <c r="B575" s="65"/>
    </row>
    <row r="576" spans="1:5" s="5" customFormat="1" x14ac:dyDescent="0.3">
      <c r="A576" s="22" t="s">
        <v>624</v>
      </c>
      <c r="B576" s="41"/>
    </row>
    <row r="577" spans="1:7" s="5" customFormat="1" ht="62.4" x14ac:dyDescent="0.3">
      <c r="A577" s="5" t="s">
        <v>625</v>
      </c>
    </row>
    <row r="578" spans="1:7" s="5" customFormat="1" ht="93.6" x14ac:dyDescent="0.3">
      <c r="A578" s="5" t="s">
        <v>626</v>
      </c>
    </row>
    <row r="579" spans="1:7" s="5" customFormat="1" x14ac:dyDescent="0.3"/>
    <row r="580" spans="1:7" s="5" customFormat="1" x14ac:dyDescent="0.3">
      <c r="A580" s="42" t="s">
        <v>627</v>
      </c>
    </row>
    <row r="581" spans="1:7" s="5" customFormat="1" ht="31.2" x14ac:dyDescent="0.3">
      <c r="B581" s="42" t="s">
        <v>628</v>
      </c>
    </row>
    <row r="582" spans="1:7" s="5" customFormat="1" x14ac:dyDescent="0.3">
      <c r="A582" s="42" t="s">
        <v>403</v>
      </c>
      <c r="B582" s="43">
        <v>1004</v>
      </c>
    </row>
    <row r="583" spans="1:7" s="5" customFormat="1" x14ac:dyDescent="0.3">
      <c r="C583" s="42" t="s">
        <v>629</v>
      </c>
      <c r="D583" s="42" t="s">
        <v>553</v>
      </c>
      <c r="E583" s="42" t="s">
        <v>630</v>
      </c>
    </row>
    <row r="584" spans="1:7" s="5" customFormat="1" x14ac:dyDescent="0.3">
      <c r="C584" s="5" t="str" cm="1">
        <f t="array" ref="C584:E584">_xlfn.XLOOKUP(B582,A588:A594,B588:D594)</f>
        <v>Keira Lewis</v>
      </c>
      <c r="D584" s="5" t="str">
        <v>keira.lewis@northwind.com</v>
      </c>
      <c r="E584" s="5" t="str">
        <v>(555) 010-1188</v>
      </c>
    </row>
    <row r="585" spans="1:7" s="5" customFormat="1" x14ac:dyDescent="0.3">
      <c r="C585" s="5" t="str">
        <f ca="1">_xlfn.FORMULATEXT(C584)</f>
        <v>=XLOOKUP(B582,A588:A594,B588:D594)</v>
      </c>
    </row>
    <row r="586" spans="1:7" s="5" customFormat="1" x14ac:dyDescent="0.3">
      <c r="A586" s="42" t="s">
        <v>634</v>
      </c>
    </row>
    <row r="587" spans="1:7" s="5" customFormat="1" x14ac:dyDescent="0.3">
      <c r="A587" s="42" t="s">
        <v>403</v>
      </c>
      <c r="B587" s="42" t="s">
        <v>629</v>
      </c>
      <c r="C587" s="42" t="s">
        <v>553</v>
      </c>
      <c r="D587" s="42" t="s">
        <v>630</v>
      </c>
      <c r="E587" s="42" t="s">
        <v>554</v>
      </c>
    </row>
    <row r="588" spans="1:7" s="5" customFormat="1" x14ac:dyDescent="0.3">
      <c r="A588" s="5">
        <v>1001</v>
      </c>
      <c r="B588" s="5" t="s">
        <v>524</v>
      </c>
      <c r="C588" s="5" t="s">
        <v>635</v>
      </c>
      <c r="D588" s="5" t="s">
        <v>636</v>
      </c>
      <c r="E588" s="5" t="s">
        <v>637</v>
      </c>
    </row>
    <row r="589" spans="1:7" s="5" customFormat="1" x14ac:dyDescent="0.3">
      <c r="A589" s="5">
        <v>1002</v>
      </c>
      <c r="B589" s="5" t="s">
        <v>530</v>
      </c>
      <c r="C589" s="5" t="s">
        <v>638</v>
      </c>
      <c r="D589" s="5" t="s">
        <v>639</v>
      </c>
      <c r="E589" s="5" t="s">
        <v>637</v>
      </c>
    </row>
    <row r="590" spans="1:7" s="5" customFormat="1" x14ac:dyDescent="0.3">
      <c r="A590" s="5">
        <v>1003</v>
      </c>
      <c r="B590" s="5" t="s">
        <v>640</v>
      </c>
      <c r="C590" s="5" t="s">
        <v>641</v>
      </c>
      <c r="D590" s="5" t="s">
        <v>642</v>
      </c>
      <c r="E590" s="5" t="s">
        <v>643</v>
      </c>
    </row>
    <row r="591" spans="1:7" s="5" customFormat="1" x14ac:dyDescent="0.3">
      <c r="A591" s="5">
        <v>1004</v>
      </c>
      <c r="B591" s="5" t="s">
        <v>631</v>
      </c>
      <c r="C591" s="5" t="s">
        <v>632</v>
      </c>
      <c r="D591" s="5" t="s">
        <v>633</v>
      </c>
      <c r="E591" s="5" t="s">
        <v>643</v>
      </c>
    </row>
    <row r="592" spans="1:7" x14ac:dyDescent="0.3">
      <c r="A592" s="5">
        <v>1005</v>
      </c>
      <c r="B592" s="5" t="s">
        <v>531</v>
      </c>
      <c r="C592" s="5" t="s">
        <v>644</v>
      </c>
      <c r="D592" s="5" t="s">
        <v>645</v>
      </c>
      <c r="E592" s="5" t="s">
        <v>637</v>
      </c>
      <c r="F592" s="5"/>
      <c r="G592" s="5"/>
    </row>
    <row r="593" spans="1:7" x14ac:dyDescent="0.3">
      <c r="A593" s="5">
        <v>1006</v>
      </c>
      <c r="B593" s="5" t="s">
        <v>646</v>
      </c>
      <c r="C593" s="5" t="s">
        <v>647</v>
      </c>
      <c r="D593" s="5" t="s">
        <v>648</v>
      </c>
      <c r="E593" s="5" t="s">
        <v>637</v>
      </c>
      <c r="F593" s="5"/>
      <c r="G593" s="5"/>
    </row>
    <row r="594" spans="1:7" x14ac:dyDescent="0.3">
      <c r="A594" s="5">
        <v>1007</v>
      </c>
      <c r="B594" s="5" t="s">
        <v>120</v>
      </c>
      <c r="C594" s="5" t="s">
        <v>649</v>
      </c>
      <c r="D594" s="5" t="s">
        <v>650</v>
      </c>
      <c r="E594" s="5" t="s">
        <v>569</v>
      </c>
      <c r="F594" s="5"/>
      <c r="G594" s="5"/>
    </row>
    <row r="595" spans="1:7" x14ac:dyDescent="0.3">
      <c r="A595" s="5"/>
      <c r="B595" s="5"/>
      <c r="C595" s="5"/>
      <c r="D595" s="5"/>
      <c r="E595" s="5"/>
      <c r="F595" s="5"/>
      <c r="G595" s="5"/>
    </row>
    <row r="596" spans="1:7" x14ac:dyDescent="0.3">
      <c r="A596" s="22" t="s">
        <v>651</v>
      </c>
      <c r="B596" s="5"/>
      <c r="C596" s="5"/>
      <c r="D596" s="5"/>
      <c r="E596" s="5"/>
      <c r="F596" s="5"/>
      <c r="G596" s="5"/>
    </row>
    <row r="597" spans="1:7" ht="93.6" x14ac:dyDescent="0.3">
      <c r="A597" s="5" t="s">
        <v>652</v>
      </c>
      <c r="B597" s="5"/>
      <c r="C597" s="5"/>
      <c r="D597" s="5"/>
      <c r="E597" s="5"/>
      <c r="F597" s="5"/>
      <c r="G597" s="5"/>
    </row>
    <row r="598" spans="1:7" ht="234" x14ac:dyDescent="0.3">
      <c r="A598" s="5" t="s">
        <v>653</v>
      </c>
      <c r="B598" s="5"/>
      <c r="C598" s="5"/>
      <c r="D598" s="5"/>
      <c r="E598" s="5"/>
      <c r="F598" s="5"/>
      <c r="G598" s="5"/>
    </row>
    <row r="599" spans="1:7" s="5" customFormat="1" x14ac:dyDescent="0.3"/>
    <row r="600" spans="1:7" s="5" customFormat="1" x14ac:dyDescent="0.3">
      <c r="A600" s="5" t="s">
        <v>654</v>
      </c>
      <c r="B600" s="44" t="s">
        <v>8</v>
      </c>
      <c r="C600" s="44" t="s">
        <v>655</v>
      </c>
      <c r="D600" s="44" t="s">
        <v>656</v>
      </c>
    </row>
    <row r="601" spans="1:7" s="5" customFormat="1" x14ac:dyDescent="0.3">
      <c r="A601" s="5" t="s">
        <v>657</v>
      </c>
      <c r="B601" s="5">
        <v>12</v>
      </c>
      <c r="C601" s="5">
        <v>3200</v>
      </c>
      <c r="D601" s="5" t="b">
        <f>AND(B601&gt;=$B$608,C601&gt;=$D$608)</f>
        <v>1</v>
      </c>
    </row>
    <row r="602" spans="1:7" s="5" customFormat="1" x14ac:dyDescent="0.3">
      <c r="A602" s="5" t="s">
        <v>658</v>
      </c>
      <c r="B602" s="5">
        <v>9</v>
      </c>
      <c r="C602" s="5">
        <v>2800</v>
      </c>
      <c r="D602" s="5" t="b">
        <f t="shared" ref="D602:D606" si="20">AND(B602&gt;=$B$608,C602&gt;=$D$608)</f>
        <v>0</v>
      </c>
    </row>
    <row r="603" spans="1:7" s="5" customFormat="1" x14ac:dyDescent="0.3">
      <c r="A603" s="5" t="s">
        <v>659</v>
      </c>
      <c r="B603" s="5">
        <v>10</v>
      </c>
      <c r="C603" s="5">
        <v>2400</v>
      </c>
      <c r="D603" s="5" t="b">
        <f t="shared" si="20"/>
        <v>0</v>
      </c>
    </row>
    <row r="604" spans="1:7" s="5" customFormat="1" x14ac:dyDescent="0.3">
      <c r="A604" s="5" t="s">
        <v>660</v>
      </c>
      <c r="B604" s="5">
        <v>15</v>
      </c>
      <c r="C604" s="5">
        <v>5100</v>
      </c>
      <c r="D604" s="5" t="b">
        <f t="shared" si="20"/>
        <v>1</v>
      </c>
    </row>
    <row r="605" spans="1:7" s="5" customFormat="1" x14ac:dyDescent="0.3">
      <c r="A605" s="5" t="s">
        <v>661</v>
      </c>
      <c r="B605" s="5">
        <v>7</v>
      </c>
      <c r="C605" s="5">
        <v>1800</v>
      </c>
      <c r="D605" s="5" t="b">
        <f t="shared" si="20"/>
        <v>0</v>
      </c>
    </row>
    <row r="606" spans="1:7" s="5" customFormat="1" x14ac:dyDescent="0.3">
      <c r="A606" s="5" t="s">
        <v>662</v>
      </c>
      <c r="B606" s="5">
        <v>11</v>
      </c>
      <c r="C606" s="5">
        <v>2500</v>
      </c>
      <c r="D606" s="5" t="b">
        <f t="shared" si="20"/>
        <v>1</v>
      </c>
    </row>
    <row r="607" spans="1:7" s="5" customFormat="1" x14ac:dyDescent="0.3"/>
    <row r="608" spans="1:7" s="5" customFormat="1" x14ac:dyDescent="0.3">
      <c r="A608" s="45" t="s">
        <v>663</v>
      </c>
      <c r="B608" s="44">
        <v>10</v>
      </c>
      <c r="C608" s="45" t="s">
        <v>664</v>
      </c>
      <c r="D608" s="44">
        <v>2500</v>
      </c>
    </row>
    <row r="609" spans="1:6" s="5" customFormat="1" x14ac:dyDescent="0.3"/>
    <row r="610" spans="1:6" s="5" customFormat="1" x14ac:dyDescent="0.3">
      <c r="C610" s="5" t="str">
        <f ca="1">_xlfn.FORMULATEXT(D601)</f>
        <v>=AND(B601&gt;=$B$608,C601&gt;=$D$608)</v>
      </c>
    </row>
    <row r="612" spans="1:6" x14ac:dyDescent="0.3">
      <c r="A612" s="22" t="s">
        <v>665</v>
      </c>
    </row>
    <row r="613" spans="1:6" ht="171.6" x14ac:dyDescent="0.3">
      <c r="A613" s="5" t="s">
        <v>666</v>
      </c>
    </row>
    <row r="615" spans="1:6" x14ac:dyDescent="0.3">
      <c r="A615" s="10" t="s">
        <v>104</v>
      </c>
      <c r="B615" s="10" t="s">
        <v>667</v>
      </c>
      <c r="C615" s="10" t="s">
        <v>305</v>
      </c>
      <c r="D615" s="10" t="s">
        <v>105</v>
      </c>
      <c r="E615" s="10" t="s">
        <v>668</v>
      </c>
      <c r="F615" s="46" t="s">
        <v>669</v>
      </c>
    </row>
    <row r="616" spans="1:6" x14ac:dyDescent="0.3">
      <c r="A616" s="67">
        <v>10021</v>
      </c>
      <c r="B616" s="67" t="s">
        <v>637</v>
      </c>
      <c r="C616" s="67" t="s">
        <v>670</v>
      </c>
      <c r="D616" s="21">
        <v>45932</v>
      </c>
      <c r="E616" s="67">
        <v>8500</v>
      </c>
      <c r="F616" s="8" t="str">
        <f>IF(OR(E616&gt;10000,B616="VIP"),"High","Standard")</f>
        <v>Standard</v>
      </c>
    </row>
    <row r="617" spans="1:6" x14ac:dyDescent="0.3">
      <c r="A617" s="67">
        <v>10022</v>
      </c>
      <c r="B617" s="67" t="s">
        <v>671</v>
      </c>
      <c r="C617" s="67" t="s">
        <v>672</v>
      </c>
      <c r="D617" s="21">
        <v>45933</v>
      </c>
      <c r="E617" s="67">
        <v>4200</v>
      </c>
      <c r="F617" s="8" t="str">
        <f t="shared" ref="F617:F625" si="21">IF(OR(E617&gt;10000,B617="VIP"),"High","Standard")</f>
        <v>High</v>
      </c>
    </row>
    <row r="618" spans="1:6" x14ac:dyDescent="0.3">
      <c r="A618" s="67">
        <v>10023</v>
      </c>
      <c r="B618" s="67" t="s">
        <v>637</v>
      </c>
      <c r="C618" s="67" t="s">
        <v>673</v>
      </c>
      <c r="D618" s="21">
        <v>45933</v>
      </c>
      <c r="E618" s="67">
        <v>12500</v>
      </c>
      <c r="F618" s="8" t="str">
        <f t="shared" si="21"/>
        <v>High</v>
      </c>
    </row>
    <row r="619" spans="1:6" x14ac:dyDescent="0.3">
      <c r="A619" s="67">
        <v>10024</v>
      </c>
      <c r="B619" s="67" t="s">
        <v>637</v>
      </c>
      <c r="C619" s="67" t="s">
        <v>674</v>
      </c>
      <c r="D619" s="21">
        <v>45934</v>
      </c>
      <c r="E619" s="67">
        <v>9999</v>
      </c>
      <c r="F619" s="8" t="str">
        <f t="shared" si="21"/>
        <v>Standard</v>
      </c>
    </row>
    <row r="620" spans="1:6" x14ac:dyDescent="0.3">
      <c r="A620" s="67">
        <v>10025</v>
      </c>
      <c r="B620" s="67" t="s">
        <v>671</v>
      </c>
      <c r="C620" s="67" t="s">
        <v>670</v>
      </c>
      <c r="D620" s="21">
        <v>45934</v>
      </c>
      <c r="E620" s="67">
        <v>10000</v>
      </c>
      <c r="F620" s="8" t="str">
        <f t="shared" si="21"/>
        <v>High</v>
      </c>
    </row>
    <row r="621" spans="1:6" x14ac:dyDescent="0.3">
      <c r="A621" s="67">
        <v>10026</v>
      </c>
      <c r="B621" s="67" t="s">
        <v>637</v>
      </c>
      <c r="C621" s="67" t="s">
        <v>672</v>
      </c>
      <c r="D621" s="21">
        <v>45935</v>
      </c>
      <c r="E621" s="67">
        <v>10001</v>
      </c>
      <c r="F621" s="8" t="str">
        <f t="shared" si="21"/>
        <v>High</v>
      </c>
    </row>
    <row r="622" spans="1:6" x14ac:dyDescent="0.3">
      <c r="A622" s="67">
        <v>10027</v>
      </c>
      <c r="B622" s="67" t="s">
        <v>637</v>
      </c>
      <c r="C622" s="67" t="s">
        <v>673</v>
      </c>
      <c r="D622" s="21">
        <v>45936</v>
      </c>
      <c r="E622" s="67">
        <v>17500</v>
      </c>
      <c r="F622" s="8" t="str">
        <f t="shared" si="21"/>
        <v>High</v>
      </c>
    </row>
    <row r="623" spans="1:6" x14ac:dyDescent="0.3">
      <c r="A623" s="67">
        <v>10028</v>
      </c>
      <c r="B623" s="67" t="s">
        <v>637</v>
      </c>
      <c r="C623" s="67" t="s">
        <v>674</v>
      </c>
      <c r="D623" s="21">
        <v>45936</v>
      </c>
      <c r="E623" s="67">
        <v>5400</v>
      </c>
      <c r="F623" s="8" t="str">
        <f t="shared" si="21"/>
        <v>Standard</v>
      </c>
    </row>
    <row r="624" spans="1:6" x14ac:dyDescent="0.3">
      <c r="A624" s="67">
        <v>10029</v>
      </c>
      <c r="B624" s="67" t="s">
        <v>671</v>
      </c>
      <c r="C624" s="67" t="s">
        <v>672</v>
      </c>
      <c r="D624" s="21">
        <v>45937</v>
      </c>
      <c r="E624" s="67">
        <v>15000</v>
      </c>
      <c r="F624" s="8" t="str">
        <f t="shared" si="21"/>
        <v>High</v>
      </c>
    </row>
    <row r="625" spans="1:7" x14ac:dyDescent="0.3">
      <c r="A625" s="67">
        <v>10030</v>
      </c>
      <c r="B625" s="67" t="s">
        <v>637</v>
      </c>
      <c r="C625" s="67" t="s">
        <v>670</v>
      </c>
      <c r="D625" s="21">
        <v>45937</v>
      </c>
      <c r="E625" s="67">
        <v>10250</v>
      </c>
      <c r="F625" s="8" t="str">
        <f t="shared" si="21"/>
        <v>High</v>
      </c>
    </row>
    <row r="627" spans="1:7" ht="27.6" customHeight="1" x14ac:dyDescent="0.3">
      <c r="A627" s="5"/>
      <c r="B627" s="5"/>
      <c r="C627" s="5"/>
      <c r="D627" s="5"/>
      <c r="E627" s="71" t="str">
        <f ca="1">_xlfn.FORMULATEXT(F616)</f>
        <v>=IF(OR(E616&gt;10000,B616="VIP"),"High","Standard")</v>
      </c>
      <c r="F627" s="71"/>
      <c r="G627" s="5"/>
    </row>
    <row r="628" spans="1:7" x14ac:dyDescent="0.3">
      <c r="A628" s="22" t="s">
        <v>675</v>
      </c>
      <c r="B628" s="5"/>
      <c r="C628" s="5"/>
      <c r="D628" s="5"/>
      <c r="E628" s="5"/>
      <c r="F628" s="5"/>
      <c r="G628" s="5"/>
    </row>
    <row r="629" spans="1:7" x14ac:dyDescent="0.3">
      <c r="A629" s="5" t="s">
        <v>676</v>
      </c>
      <c r="B629" s="5"/>
      <c r="C629" s="5"/>
      <c r="D629" s="5"/>
      <c r="E629" s="5"/>
      <c r="F629" s="5"/>
      <c r="G629" s="5"/>
    </row>
    <row r="630" spans="1:7" x14ac:dyDescent="0.3">
      <c r="A630" s="5"/>
      <c r="B630" s="5"/>
      <c r="C630" s="5"/>
      <c r="D630" s="5"/>
      <c r="E630" s="5"/>
      <c r="F630" s="5"/>
      <c r="G630" s="5"/>
    </row>
    <row r="631" spans="1:7" x14ac:dyDescent="0.3">
      <c r="A631" s="5" t="s">
        <v>940</v>
      </c>
      <c r="B631" s="5"/>
      <c r="C631" s="5"/>
      <c r="D631" s="5"/>
      <c r="E631" s="5"/>
      <c r="F631" s="5"/>
      <c r="G631" s="5"/>
    </row>
    <row r="632" spans="1:7" x14ac:dyDescent="0.3">
      <c r="A632" s="5"/>
      <c r="B632" s="5"/>
      <c r="C632" s="5"/>
      <c r="D632" s="5"/>
      <c r="E632" s="5"/>
      <c r="F632" s="5"/>
      <c r="G632" s="5"/>
    </row>
    <row r="633" spans="1:7" x14ac:dyDescent="0.3">
      <c r="A633" s="5" t="s">
        <v>677</v>
      </c>
      <c r="B633" s="5"/>
      <c r="C633" s="5"/>
      <c r="D633" s="5"/>
      <c r="E633" s="5"/>
      <c r="F633" s="5"/>
      <c r="G633" s="5"/>
    </row>
    <row r="634" spans="1:7" x14ac:dyDescent="0.3">
      <c r="A634" s="5"/>
      <c r="B634" s="5"/>
      <c r="C634" s="5"/>
      <c r="D634" s="5"/>
      <c r="E634" s="5"/>
      <c r="F634" s="5"/>
      <c r="G634" s="5"/>
    </row>
    <row r="635" spans="1:7" x14ac:dyDescent="0.3">
      <c r="A635" s="5" t="s">
        <v>941</v>
      </c>
      <c r="B635" s="5"/>
      <c r="C635" s="5"/>
      <c r="D635" s="5"/>
      <c r="E635" s="5"/>
      <c r="F635" s="5"/>
      <c r="G635" s="5"/>
    </row>
    <row r="636" spans="1:7" x14ac:dyDescent="0.3">
      <c r="A636" s="5" t="s">
        <v>942</v>
      </c>
      <c r="B636" s="5"/>
      <c r="C636" s="5"/>
      <c r="D636" s="5"/>
      <c r="E636" s="5"/>
      <c r="F636" s="5"/>
      <c r="G636" s="5"/>
    </row>
    <row r="637" spans="1:7" x14ac:dyDescent="0.3">
      <c r="A637" s="5" t="s">
        <v>943</v>
      </c>
      <c r="B637" s="5"/>
      <c r="C637" s="5"/>
      <c r="D637" s="5"/>
      <c r="E637" s="5"/>
      <c r="F637" s="5"/>
      <c r="G637" s="5"/>
    </row>
    <row r="638" spans="1:7" x14ac:dyDescent="0.3">
      <c r="A638" s="5" t="s">
        <v>944</v>
      </c>
      <c r="B638" s="5"/>
      <c r="C638" s="5"/>
      <c r="D638" s="5"/>
      <c r="E638" s="5"/>
      <c r="F638" s="5"/>
      <c r="G638" s="5"/>
    </row>
    <row r="639" spans="1:7" x14ac:dyDescent="0.3">
      <c r="A639" s="5" t="s">
        <v>945</v>
      </c>
      <c r="B639" s="5"/>
      <c r="C639" s="5"/>
      <c r="D639" s="5"/>
      <c r="E639" s="5"/>
      <c r="F639" s="5"/>
      <c r="G639" s="5"/>
    </row>
    <row r="640" spans="1:7" x14ac:dyDescent="0.3">
      <c r="A640" s="5"/>
      <c r="B640" s="5"/>
      <c r="C640" s="5"/>
      <c r="D640" s="5"/>
      <c r="E640" s="5"/>
      <c r="F640" s="5"/>
      <c r="G640" s="5"/>
    </row>
    <row r="641" spans="1:7" x14ac:dyDescent="0.3">
      <c r="A641" s="42" t="s">
        <v>678</v>
      </c>
      <c r="B641" s="42" t="s">
        <v>679</v>
      </c>
      <c r="C641" s="42" t="s">
        <v>680</v>
      </c>
      <c r="D641" s="42" t="s">
        <v>681</v>
      </c>
      <c r="E641" s="42" t="s">
        <v>682</v>
      </c>
      <c r="F641" s="5"/>
      <c r="G641" s="5"/>
    </row>
    <row r="642" spans="1:7" x14ac:dyDescent="0.3">
      <c r="A642" s="5" t="s">
        <v>683</v>
      </c>
      <c r="B642" s="5">
        <v>745</v>
      </c>
      <c r="C642" s="5">
        <v>82000</v>
      </c>
      <c r="D642" s="5">
        <v>15000</v>
      </c>
      <c r="E642" s="5" t="str">
        <f>IF(AND(B642&gt;700,C642&gt;50000),"Approve","Decline")</f>
        <v>Approve</v>
      </c>
      <c r="F642" s="5"/>
      <c r="G642" s="5"/>
    </row>
    <row r="643" spans="1:7" x14ac:dyDescent="0.3">
      <c r="A643" s="5" t="s">
        <v>535</v>
      </c>
      <c r="B643" s="5">
        <v>702</v>
      </c>
      <c r="C643" s="5">
        <v>51000</v>
      </c>
      <c r="D643" s="5">
        <v>12000</v>
      </c>
      <c r="E643" s="5" t="str">
        <f t="shared" ref="E643:E651" si="22">IF(AND(B643&gt;700,C643&gt;50000),"Approve","Decline")</f>
        <v>Approve</v>
      </c>
      <c r="F643" s="5"/>
      <c r="G643" s="5"/>
    </row>
    <row r="644" spans="1:7" x14ac:dyDescent="0.3">
      <c r="A644" s="5" t="s">
        <v>531</v>
      </c>
      <c r="B644" s="5">
        <v>701</v>
      </c>
      <c r="C644" s="5">
        <v>50000</v>
      </c>
      <c r="D644" s="5">
        <v>8000</v>
      </c>
      <c r="E644" s="5" t="str">
        <f t="shared" si="22"/>
        <v>Decline</v>
      </c>
      <c r="F644" s="5"/>
      <c r="G644" s="5"/>
    </row>
    <row r="645" spans="1:7" x14ac:dyDescent="0.3">
      <c r="A645" s="5" t="s">
        <v>684</v>
      </c>
      <c r="B645" s="5">
        <v>700</v>
      </c>
      <c r="C645" s="5">
        <v>65000</v>
      </c>
      <c r="D645" s="5">
        <v>20000</v>
      </c>
      <c r="E645" s="5" t="str">
        <f t="shared" si="22"/>
        <v>Decline</v>
      </c>
      <c r="F645" s="5"/>
      <c r="G645" s="5"/>
    </row>
    <row r="646" spans="1:7" x14ac:dyDescent="0.3">
      <c r="A646" s="5" t="s">
        <v>685</v>
      </c>
      <c r="B646" s="5">
        <v>680</v>
      </c>
      <c r="C646" s="5">
        <v>90000</v>
      </c>
      <c r="D646" s="5">
        <v>10000</v>
      </c>
      <c r="E646" s="5" t="str">
        <f t="shared" si="22"/>
        <v>Decline</v>
      </c>
      <c r="F646" s="5"/>
      <c r="G646" s="5"/>
    </row>
    <row r="647" spans="1:7" x14ac:dyDescent="0.3">
      <c r="A647" s="5" t="s">
        <v>686</v>
      </c>
      <c r="B647" s="5">
        <v>780</v>
      </c>
      <c r="C647" s="5">
        <v>48000</v>
      </c>
      <c r="D647" s="5">
        <v>5000</v>
      </c>
      <c r="E647" s="5" t="str">
        <f t="shared" si="22"/>
        <v>Decline</v>
      </c>
      <c r="F647" s="5"/>
      <c r="G647" s="5"/>
    </row>
    <row r="648" spans="1:7" x14ac:dyDescent="0.3">
      <c r="A648" s="5" t="s">
        <v>687</v>
      </c>
      <c r="B648" s="5">
        <v>720</v>
      </c>
      <c r="C648" s="5">
        <v>52000</v>
      </c>
      <c r="D648" s="5">
        <v>25000</v>
      </c>
      <c r="E648" s="5" t="str">
        <f t="shared" si="22"/>
        <v>Approve</v>
      </c>
      <c r="F648" s="5"/>
      <c r="G648" s="5"/>
    </row>
    <row r="649" spans="1:7" x14ac:dyDescent="0.3">
      <c r="A649" s="5" t="s">
        <v>688</v>
      </c>
      <c r="B649" s="5">
        <v>715</v>
      </c>
      <c r="C649" s="5">
        <v>50500</v>
      </c>
      <c r="D649" s="5">
        <v>18000</v>
      </c>
      <c r="E649" s="5" t="str">
        <f t="shared" si="22"/>
        <v>Approve</v>
      </c>
      <c r="F649" s="5"/>
      <c r="G649" s="5"/>
    </row>
    <row r="650" spans="1:7" s="5" customFormat="1" x14ac:dyDescent="0.3">
      <c r="A650" s="5" t="s">
        <v>689</v>
      </c>
      <c r="B650" s="5">
        <v>699</v>
      </c>
      <c r="C650" s="5">
        <v>51000</v>
      </c>
      <c r="D650" s="5">
        <v>7000</v>
      </c>
      <c r="E650" s="5" t="str">
        <f t="shared" si="22"/>
        <v>Decline</v>
      </c>
    </row>
    <row r="651" spans="1:7" s="5" customFormat="1" x14ac:dyDescent="0.3">
      <c r="A651" s="5" t="s">
        <v>690</v>
      </c>
      <c r="B651" s="5">
        <v>730</v>
      </c>
      <c r="C651" s="5">
        <v>50001</v>
      </c>
      <c r="D651" s="5">
        <v>16000</v>
      </c>
      <c r="E651" s="5" t="str">
        <f t="shared" si="22"/>
        <v>Approve</v>
      </c>
    </row>
    <row r="652" spans="1:7" s="5" customFormat="1" x14ac:dyDescent="0.3"/>
    <row r="653" spans="1:7" s="5" customFormat="1" ht="13.8" customHeight="1" x14ac:dyDescent="0.3">
      <c r="D653" s="5" t="str">
        <f ca="1">_xlfn.FORMULATEXT(E642)</f>
        <v>=IF(AND(B642&gt;700,C642&gt;50000),"Approve","Decline")</v>
      </c>
    </row>
    <row r="654" spans="1:7" s="5" customFormat="1" x14ac:dyDescent="0.3"/>
    <row r="655" spans="1:7" s="5" customFormat="1" x14ac:dyDescent="0.3">
      <c r="A655" s="22" t="s">
        <v>691</v>
      </c>
    </row>
    <row r="656" spans="1:7" s="5" customFormat="1" ht="109.2" x14ac:dyDescent="0.3">
      <c r="A656" s="5" t="s">
        <v>692</v>
      </c>
    </row>
    <row r="657" spans="1:4" s="5" customFormat="1" ht="234" x14ac:dyDescent="0.3">
      <c r="A657" s="5" t="s">
        <v>693</v>
      </c>
    </row>
    <row r="658" spans="1:4" s="5" customFormat="1" x14ac:dyDescent="0.3"/>
    <row r="659" spans="1:4" s="5" customFormat="1" x14ac:dyDescent="0.3">
      <c r="A659" s="13" t="s">
        <v>694</v>
      </c>
      <c r="B659" s="47">
        <v>45731</v>
      </c>
      <c r="C659" s="67"/>
      <c r="D659" s="67"/>
    </row>
    <row r="660" spans="1:4" s="5" customFormat="1" x14ac:dyDescent="0.3">
      <c r="A660" s="67"/>
      <c r="B660" s="67"/>
      <c r="C660" s="67"/>
      <c r="D660" s="67"/>
    </row>
    <row r="661" spans="1:4" s="5" customFormat="1" x14ac:dyDescent="0.3">
      <c r="A661" s="13" t="s">
        <v>695</v>
      </c>
      <c r="B661" s="13" t="s">
        <v>696</v>
      </c>
      <c r="C661" s="13" t="s">
        <v>307</v>
      </c>
      <c r="D661" s="48" t="s">
        <v>697</v>
      </c>
    </row>
    <row r="662" spans="1:4" s="5" customFormat="1" x14ac:dyDescent="0.3">
      <c r="A662" s="67" t="s">
        <v>698</v>
      </c>
      <c r="B662" s="21">
        <v>45716</v>
      </c>
      <c r="C662" s="67" t="s">
        <v>699</v>
      </c>
      <c r="D662" s="8" t="str">
        <f>IF(NOT(C662="Paid"),"Overdue","")</f>
        <v>Overdue</v>
      </c>
    </row>
    <row r="663" spans="1:4" s="5" customFormat="1" x14ac:dyDescent="0.3">
      <c r="A663" s="67" t="s">
        <v>700</v>
      </c>
      <c r="B663" s="21">
        <v>45688</v>
      </c>
      <c r="C663" s="67" t="s">
        <v>701</v>
      </c>
      <c r="D663" s="8" t="str">
        <f t="shared" ref="D663:D667" si="23">IF(NOT(C663="Paid"),"Overdue","")</f>
        <v/>
      </c>
    </row>
    <row r="664" spans="1:4" s="5" customFormat="1" x14ac:dyDescent="0.3">
      <c r="A664" s="67" t="s">
        <v>702</v>
      </c>
      <c r="B664" s="21">
        <v>45726</v>
      </c>
      <c r="C664" s="67" t="s">
        <v>703</v>
      </c>
      <c r="D664" s="8" t="str">
        <f t="shared" si="23"/>
        <v>Overdue</v>
      </c>
    </row>
    <row r="665" spans="1:4" s="5" customFormat="1" x14ac:dyDescent="0.3">
      <c r="A665" s="67" t="s">
        <v>704</v>
      </c>
      <c r="B665" s="21">
        <v>45703</v>
      </c>
      <c r="C665" s="67" t="s">
        <v>705</v>
      </c>
      <c r="D665" s="8" t="str">
        <f t="shared" si="23"/>
        <v>Overdue</v>
      </c>
    </row>
    <row r="666" spans="1:4" s="5" customFormat="1" x14ac:dyDescent="0.3">
      <c r="A666" s="67" t="s">
        <v>706</v>
      </c>
      <c r="B666" s="21">
        <v>45717</v>
      </c>
      <c r="C666" s="67" t="s">
        <v>707</v>
      </c>
      <c r="D666" s="8" t="str">
        <f t="shared" si="23"/>
        <v>Overdue</v>
      </c>
    </row>
    <row r="667" spans="1:4" s="5" customFormat="1" x14ac:dyDescent="0.3">
      <c r="A667" s="67" t="s">
        <v>708</v>
      </c>
      <c r="B667" s="21">
        <v>45698</v>
      </c>
      <c r="C667" s="67" t="s">
        <v>701</v>
      </c>
      <c r="D667" s="8" t="str">
        <f t="shared" si="23"/>
        <v/>
      </c>
    </row>
    <row r="668" spans="1:4" s="5" customFormat="1" x14ac:dyDescent="0.3"/>
    <row r="669" spans="1:4" s="5" customFormat="1" x14ac:dyDescent="0.3">
      <c r="C669" s="72" t="str">
        <f ca="1">_xlfn.FORMULATEXT(D662)</f>
        <v>=IF(NOT(C662="Paid"),"Overdue","")</v>
      </c>
      <c r="D669" s="72"/>
    </row>
    <row r="670" spans="1:4" s="5" customFormat="1" x14ac:dyDescent="0.3"/>
    <row r="671" spans="1:4" s="5" customFormat="1" x14ac:dyDescent="0.3">
      <c r="A671" s="22" t="s">
        <v>709</v>
      </c>
    </row>
    <row r="672" spans="1:4" s="5" customFormat="1" ht="156" x14ac:dyDescent="0.3">
      <c r="A672" s="5" t="s">
        <v>710</v>
      </c>
    </row>
    <row r="673" spans="1:5" s="5" customFormat="1" x14ac:dyDescent="0.3"/>
    <row r="674" spans="1:5" s="5" customFormat="1" x14ac:dyDescent="0.3">
      <c r="A674" s="10" t="s">
        <v>711</v>
      </c>
      <c r="B674" s="10" t="s">
        <v>220</v>
      </c>
      <c r="C674" s="10" t="s">
        <v>712</v>
      </c>
      <c r="D674" s="49" t="s">
        <v>713</v>
      </c>
      <c r="E674" s="49" t="s">
        <v>714</v>
      </c>
    </row>
    <row r="675" spans="1:5" s="5" customFormat="1" x14ac:dyDescent="0.3">
      <c r="A675" s="67" t="s">
        <v>524</v>
      </c>
      <c r="B675" s="67">
        <v>96</v>
      </c>
      <c r="C675" s="8" t="str">
        <f>IF(B675&gt;=90,"A",IF(B675&gt;=80,"B",IF(B675&gt;=70,"C",IF(B675&gt;=60,"D","F"))))</f>
        <v>A</v>
      </c>
      <c r="D675" s="67" t="s">
        <v>715</v>
      </c>
      <c r="E675" s="67">
        <v>90</v>
      </c>
    </row>
    <row r="676" spans="1:5" s="5" customFormat="1" x14ac:dyDescent="0.3">
      <c r="A676" s="67" t="s">
        <v>530</v>
      </c>
      <c r="B676" s="67">
        <v>88</v>
      </c>
      <c r="C676" s="8" t="str">
        <f t="shared" ref="C676:C682" si="24">IF(B676&gt;=90,"A",IF(B676&gt;=80,"B",IF(B676&gt;=70,"C",IF(B676&gt;=60,"D","F"))))</f>
        <v>B</v>
      </c>
      <c r="D676" s="67" t="s">
        <v>716</v>
      </c>
      <c r="E676" s="67">
        <v>80</v>
      </c>
    </row>
    <row r="677" spans="1:5" s="5" customFormat="1" x14ac:dyDescent="0.3">
      <c r="A677" s="67" t="s">
        <v>640</v>
      </c>
      <c r="B677" s="67">
        <v>73</v>
      </c>
      <c r="C677" s="8" t="str">
        <f t="shared" si="24"/>
        <v>C</v>
      </c>
      <c r="D677" s="67" t="s">
        <v>717</v>
      </c>
      <c r="E677" s="67">
        <v>70</v>
      </c>
    </row>
    <row r="678" spans="1:5" s="5" customFormat="1" x14ac:dyDescent="0.3">
      <c r="A678" s="67" t="s">
        <v>120</v>
      </c>
      <c r="B678" s="67">
        <v>67</v>
      </c>
      <c r="C678" s="8" t="str">
        <f t="shared" si="24"/>
        <v>D</v>
      </c>
      <c r="D678" s="67" t="s">
        <v>718</v>
      </c>
      <c r="E678" s="67">
        <v>60</v>
      </c>
    </row>
    <row r="679" spans="1:5" s="5" customFormat="1" x14ac:dyDescent="0.3">
      <c r="A679" s="67" t="s">
        <v>646</v>
      </c>
      <c r="B679" s="67">
        <v>59</v>
      </c>
      <c r="C679" s="8" t="str">
        <f t="shared" si="24"/>
        <v>F</v>
      </c>
      <c r="D679" s="67" t="s">
        <v>719</v>
      </c>
      <c r="E679" s="67">
        <v>0</v>
      </c>
    </row>
    <row r="680" spans="1:5" s="5" customFormat="1" x14ac:dyDescent="0.3">
      <c r="A680" s="67" t="s">
        <v>531</v>
      </c>
      <c r="B680" s="67">
        <v>80</v>
      </c>
      <c r="C680" s="8" t="str">
        <f t="shared" si="24"/>
        <v>B</v>
      </c>
      <c r="D680" s="67"/>
      <c r="E680" s="67"/>
    </row>
    <row r="681" spans="1:5" s="5" customFormat="1" x14ac:dyDescent="0.3">
      <c r="A681" s="67" t="s">
        <v>631</v>
      </c>
      <c r="B681" s="67">
        <v>90</v>
      </c>
      <c r="C681" s="8" t="str">
        <f t="shared" si="24"/>
        <v>A</v>
      </c>
      <c r="D681" s="67"/>
      <c r="E681" s="67"/>
    </row>
    <row r="682" spans="1:5" s="5" customFormat="1" x14ac:dyDescent="0.3">
      <c r="A682" s="67" t="s">
        <v>720</v>
      </c>
      <c r="B682" s="67">
        <v>70</v>
      </c>
      <c r="C682" s="8" t="str">
        <f t="shared" si="24"/>
        <v>C</v>
      </c>
      <c r="D682" s="67"/>
      <c r="E682" s="67"/>
    </row>
    <row r="683" spans="1:5" s="5" customFormat="1" x14ac:dyDescent="0.3"/>
    <row r="684" spans="1:5" s="5" customFormat="1" ht="14.4" customHeight="1" x14ac:dyDescent="0.3">
      <c r="B684" s="72" t="str">
        <f ca="1">_xlfn.FORMULATEXT(C675)</f>
        <v>=IF(B675&gt;=90,"A",IF(B675&gt;=80,"B",IF(B675&gt;=70,"C",IF(B675&gt;=60,"D","F"))))</v>
      </c>
      <c r="C684" s="72"/>
    </row>
    <row r="685" spans="1:5" s="5" customFormat="1" x14ac:dyDescent="0.3">
      <c r="A685" s="50" t="s">
        <v>722</v>
      </c>
      <c r="B685" s="72" t="s">
        <v>721</v>
      </c>
      <c r="C685" s="72"/>
    </row>
    <row r="686" spans="1:5" s="5" customFormat="1" x14ac:dyDescent="0.3"/>
    <row r="687" spans="1:5" s="5" customFormat="1" x14ac:dyDescent="0.3">
      <c r="A687" s="22" t="s">
        <v>723</v>
      </c>
    </row>
    <row r="688" spans="1:5" s="5" customFormat="1" ht="156" x14ac:dyDescent="0.3">
      <c r="A688" s="67" t="s">
        <v>724</v>
      </c>
    </row>
    <row r="689" spans="1:6" s="5" customFormat="1" x14ac:dyDescent="0.3">
      <c r="A689" s="67"/>
    </row>
    <row r="690" spans="1:6" s="5" customFormat="1" x14ac:dyDescent="0.3">
      <c r="A690" s="10" t="s">
        <v>305</v>
      </c>
      <c r="B690" s="10" t="s">
        <v>725</v>
      </c>
      <c r="C690" s="10" t="s">
        <v>726</v>
      </c>
      <c r="D690" s="49" t="s">
        <v>667</v>
      </c>
      <c r="E690" s="49" t="s">
        <v>727</v>
      </c>
      <c r="F690" s="49" t="s">
        <v>728</v>
      </c>
    </row>
    <row r="691" spans="1:6" s="5" customFormat="1" x14ac:dyDescent="0.3">
      <c r="A691" s="67" t="s">
        <v>117</v>
      </c>
      <c r="B691" s="67">
        <v>8200</v>
      </c>
      <c r="C691" s="8">
        <f>IF(B691&gt;=$E$691,B691*$F$691,IF(B691&gt;=$E$692,B691*$F$692,B691*$F$693))</f>
        <v>246</v>
      </c>
      <c r="D691" s="67" t="s">
        <v>729</v>
      </c>
      <c r="E691" s="67">
        <v>25000</v>
      </c>
      <c r="F691" s="67">
        <v>7.0000000000000007E-2</v>
      </c>
    </row>
    <row r="692" spans="1:6" s="5" customFormat="1" x14ac:dyDescent="0.3">
      <c r="A692" s="67" t="s">
        <v>730</v>
      </c>
      <c r="B692" s="67">
        <v>12000</v>
      </c>
      <c r="C692" s="8">
        <f t="shared" ref="C692:C698" si="25">IF(B692&gt;=$E$691,B692*$F$691,IF(B692&gt;=$E$692,B692*$F$692,B692*$F$693))</f>
        <v>600</v>
      </c>
      <c r="D692" s="67" t="s">
        <v>731</v>
      </c>
      <c r="E692" s="67">
        <v>10000</v>
      </c>
      <c r="F692" s="67">
        <v>0.05</v>
      </c>
    </row>
    <row r="693" spans="1:6" s="5" customFormat="1" x14ac:dyDescent="0.3">
      <c r="A693" s="67" t="s">
        <v>732</v>
      </c>
      <c r="B693" s="67">
        <v>25750</v>
      </c>
      <c r="C693" s="8">
        <f t="shared" si="25"/>
        <v>1802.5000000000002</v>
      </c>
      <c r="D693" s="67" t="s">
        <v>733</v>
      </c>
      <c r="E693" s="67">
        <v>0</v>
      </c>
      <c r="F693" s="67">
        <v>0.03</v>
      </c>
    </row>
    <row r="694" spans="1:6" s="5" customFormat="1" x14ac:dyDescent="0.3">
      <c r="A694" s="67" t="s">
        <v>734</v>
      </c>
      <c r="B694" s="67">
        <v>18150</v>
      </c>
      <c r="C694" s="8">
        <f t="shared" si="25"/>
        <v>907.5</v>
      </c>
      <c r="D694" s="67"/>
      <c r="E694" s="67"/>
      <c r="F694" s="67"/>
    </row>
    <row r="695" spans="1:6" s="5" customFormat="1" x14ac:dyDescent="0.3">
      <c r="A695" s="67" t="s">
        <v>735</v>
      </c>
      <c r="B695" s="67">
        <v>9500</v>
      </c>
      <c r="C695" s="8">
        <f t="shared" si="25"/>
        <v>285</v>
      </c>
      <c r="D695" s="67"/>
      <c r="E695" s="67"/>
      <c r="F695" s="67"/>
    </row>
    <row r="696" spans="1:6" s="5" customFormat="1" x14ac:dyDescent="0.3">
      <c r="A696" s="67" t="s">
        <v>736</v>
      </c>
      <c r="B696" s="67">
        <v>30500</v>
      </c>
      <c r="C696" s="8">
        <f t="shared" si="25"/>
        <v>2135</v>
      </c>
      <c r="D696" s="67"/>
      <c r="E696" s="67"/>
      <c r="F696" s="67"/>
    </row>
    <row r="697" spans="1:6" s="5" customFormat="1" x14ac:dyDescent="0.3">
      <c r="A697" s="67" t="s">
        <v>737</v>
      </c>
      <c r="B697" s="67">
        <v>24000</v>
      </c>
      <c r="C697" s="8">
        <f t="shared" si="25"/>
        <v>1200</v>
      </c>
      <c r="D697" s="67"/>
      <c r="E697" s="67"/>
      <c r="F697" s="67"/>
    </row>
    <row r="698" spans="1:6" s="5" customFormat="1" x14ac:dyDescent="0.3">
      <c r="A698" s="67" t="s">
        <v>738</v>
      </c>
      <c r="B698" s="67">
        <v>10000</v>
      </c>
      <c r="C698" s="8">
        <f t="shared" si="25"/>
        <v>500</v>
      </c>
      <c r="D698" s="67"/>
      <c r="E698" s="67"/>
      <c r="F698" s="67"/>
    </row>
    <row r="699" spans="1:6" s="5" customFormat="1" x14ac:dyDescent="0.3">
      <c r="A699" s="67"/>
      <c r="B699" s="67"/>
      <c r="C699" s="67"/>
      <c r="D699" s="67"/>
      <c r="E699" s="67"/>
      <c r="F699" s="67"/>
    </row>
    <row r="700" spans="1:6" s="5" customFormat="1" x14ac:dyDescent="0.3">
      <c r="A700" s="51" t="s">
        <v>739</v>
      </c>
      <c r="B700" s="73" t="s">
        <v>740</v>
      </c>
      <c r="C700" s="73"/>
      <c r="D700" s="67"/>
      <c r="E700" s="67"/>
      <c r="F700" s="67"/>
    </row>
    <row r="701" spans="1:6" s="5" customFormat="1" x14ac:dyDescent="0.3"/>
    <row r="702" spans="1:6" s="5" customFormat="1" x14ac:dyDescent="0.3">
      <c r="B702" s="72" t="str">
        <f ca="1">_xlfn.FORMULATEXT(C691)</f>
        <v>=IF(B691&gt;=$E$691,B691*$F$691,IF(B691&gt;=$E$692,B691*$F$692,B691*$F$693))</v>
      </c>
      <c r="C702" s="72"/>
    </row>
    <row r="703" spans="1:6" s="5" customFormat="1" x14ac:dyDescent="0.3">
      <c r="A703" s="67"/>
    </row>
    <row r="704" spans="1:6" s="5" customFormat="1" x14ac:dyDescent="0.3">
      <c r="A704" s="22" t="s">
        <v>741</v>
      </c>
    </row>
    <row r="705" spans="1:9" s="5" customFormat="1" ht="187.2" x14ac:dyDescent="0.3">
      <c r="A705" s="67" t="s">
        <v>742</v>
      </c>
    </row>
    <row r="706" spans="1:9" s="5" customFormat="1" ht="109.2" x14ac:dyDescent="0.3">
      <c r="A706" s="67" t="s">
        <v>743</v>
      </c>
    </row>
    <row r="707" spans="1:9" s="5" customFormat="1" x14ac:dyDescent="0.3">
      <c r="A707" s="67"/>
    </row>
    <row r="708" spans="1:9" s="5" customFormat="1" x14ac:dyDescent="0.3">
      <c r="A708" s="10" t="s">
        <v>744</v>
      </c>
      <c r="B708" s="10" t="s">
        <v>745</v>
      </c>
      <c r="C708" s="10" t="s">
        <v>746</v>
      </c>
      <c r="D708" s="67"/>
      <c r="E708" s="49" t="s">
        <v>747</v>
      </c>
      <c r="F708" s="49" t="s">
        <v>748</v>
      </c>
      <c r="G708" s="67"/>
      <c r="H708" s="67"/>
      <c r="I708" s="67"/>
    </row>
    <row r="709" spans="1:9" s="5" customFormat="1" x14ac:dyDescent="0.3">
      <c r="A709" s="67" t="s">
        <v>749</v>
      </c>
      <c r="B709" s="67">
        <v>0.8</v>
      </c>
      <c r="C709" s="8" t="str" cm="1">
        <f t="array" ref="C709">_xlfn.IFS(B709&lt;=$E$709,$F$709,B709&lt;=$E$710,$F$710,B709&lt;=$E$711,$F$711,B709&lt;=$E$712,$F$712,B709&gt;$E$712,$F$713)</f>
        <v>Letter</v>
      </c>
      <c r="D709" s="67"/>
      <c r="E709" s="67">
        <v>1</v>
      </c>
      <c r="F709" s="67" t="s">
        <v>750</v>
      </c>
      <c r="G709" s="67"/>
      <c r="H709" s="67"/>
      <c r="I709" s="67"/>
    </row>
    <row r="710" spans="1:9" s="5" customFormat="1" x14ac:dyDescent="0.3">
      <c r="A710" s="67" t="s">
        <v>751</v>
      </c>
      <c r="B710" s="67">
        <v>3.5</v>
      </c>
      <c r="C710" s="8" t="str" cm="1">
        <f t="array" ref="C710">_xlfn.IFS(B710&lt;=$E$709,$F$709,B710&lt;=$E$710,$F$710,B710&lt;=$E$711,$F$711,B710&lt;=$E$712,$F$712,B710&gt;$E$712,$F$713)</f>
        <v>Standard</v>
      </c>
      <c r="D710" s="67"/>
      <c r="E710" s="67">
        <v>5</v>
      </c>
      <c r="F710" s="67" t="s">
        <v>637</v>
      </c>
      <c r="G710" s="67"/>
      <c r="H710" s="67"/>
      <c r="I710" s="67"/>
    </row>
    <row r="711" spans="1:9" s="5" customFormat="1" x14ac:dyDescent="0.3">
      <c r="A711" s="67" t="s">
        <v>752</v>
      </c>
      <c r="B711" s="67">
        <v>12</v>
      </c>
      <c r="C711" s="8" t="str" cm="1">
        <f t="array" ref="C711">_xlfn.IFS(B711&lt;=$E$709,$F$709,B711&lt;=$E$710,$F$710,B711&lt;=$E$711,$F$711,B711&lt;=$E$712,$F$712,B711&gt;$E$712,$F$713)</f>
        <v>Ground</v>
      </c>
      <c r="D711" s="67"/>
      <c r="E711" s="67">
        <v>20</v>
      </c>
      <c r="F711" s="67" t="s">
        <v>753</v>
      </c>
      <c r="G711" s="67"/>
      <c r="H711" s="67"/>
      <c r="I711" s="67"/>
    </row>
    <row r="712" spans="1:9" s="5" customFormat="1" x14ac:dyDescent="0.3">
      <c r="A712" s="67" t="s">
        <v>754</v>
      </c>
      <c r="B712" s="67">
        <v>0.3</v>
      </c>
      <c r="C712" s="8" t="str" cm="1">
        <f t="array" ref="C712">_xlfn.IFS(B712&lt;=$E$709,$F$709,B712&lt;=$E$710,$F$710,B712&lt;=$E$711,$F$711,B712&lt;=$E$712,$F$712,B712&gt;$E$712,$F$713)</f>
        <v>Letter</v>
      </c>
      <c r="D712" s="67"/>
      <c r="E712" s="67">
        <v>50</v>
      </c>
      <c r="F712" s="67" t="s">
        <v>755</v>
      </c>
      <c r="G712" s="67"/>
      <c r="H712" s="67"/>
      <c r="I712" s="67"/>
    </row>
    <row r="713" spans="1:9" s="5" customFormat="1" x14ac:dyDescent="0.3">
      <c r="A713" s="67" t="s">
        <v>756</v>
      </c>
      <c r="B713" s="67">
        <v>28</v>
      </c>
      <c r="C713" s="8" t="str" cm="1">
        <f t="array" ref="C713">_xlfn.IFS(B713&lt;=$E$709,$F$709,B713&lt;=$E$710,$F$710,B713&lt;=$E$711,$F$711,B713&lt;=$E$712,$F$712,B713&gt;$E$712,$F$713)</f>
        <v>Freight</v>
      </c>
      <c r="D713" s="67"/>
      <c r="E713" s="67"/>
      <c r="F713" s="67" t="s">
        <v>757</v>
      </c>
      <c r="G713" s="67"/>
      <c r="H713" s="67"/>
      <c r="I713" s="67"/>
    </row>
    <row r="714" spans="1:9" s="5" customFormat="1" x14ac:dyDescent="0.3">
      <c r="A714" s="67" t="s">
        <v>758</v>
      </c>
      <c r="B714" s="67">
        <v>7</v>
      </c>
      <c r="C714" s="8" t="str" cm="1">
        <f t="array" ref="C714">_xlfn.IFS(B714&lt;=$E$709,$F$709,B714&lt;=$E$710,$F$710,B714&lt;=$E$711,$F$711,B714&lt;=$E$712,$F$712,B714&gt;$E$712,$F$713)</f>
        <v>Ground</v>
      </c>
      <c r="D714" s="67"/>
      <c r="E714" s="67"/>
      <c r="F714" s="67"/>
      <c r="G714" s="67"/>
      <c r="H714" s="67"/>
      <c r="I714" s="67"/>
    </row>
    <row r="715" spans="1:9" s="5" customFormat="1" x14ac:dyDescent="0.3">
      <c r="A715" s="67" t="s">
        <v>759</v>
      </c>
      <c r="B715" s="67">
        <v>55</v>
      </c>
      <c r="C715" s="8" t="str" cm="1">
        <f t="array" ref="C715">_xlfn.IFS(B715&lt;=$E$709,$F$709,B715&lt;=$E$710,$F$710,B715&lt;=$E$711,$F$711,B715&lt;=$E$712,$F$712,B715&gt;$E$712,$F$713)</f>
        <v>Heavy freight</v>
      </c>
      <c r="D715" s="67"/>
      <c r="E715" s="67"/>
      <c r="F715" s="67"/>
      <c r="G715" s="67"/>
      <c r="H715" s="67"/>
      <c r="I715" s="67"/>
    </row>
    <row r="716" spans="1:9" s="5" customFormat="1" x14ac:dyDescent="0.3">
      <c r="A716" s="67" t="s">
        <v>760</v>
      </c>
      <c r="B716" s="67">
        <v>18</v>
      </c>
      <c r="C716" s="8" t="str" cm="1">
        <f t="array" ref="C716">_xlfn.IFS(B716&lt;=$E$709,$F$709,B716&lt;=$E$710,$F$710,B716&lt;=$E$711,$F$711,B716&lt;=$E$712,$F$712,B716&gt;$E$712,$F$713)</f>
        <v>Ground</v>
      </c>
      <c r="D716" s="67"/>
      <c r="E716" s="67"/>
      <c r="F716" s="67"/>
      <c r="G716" s="67"/>
      <c r="H716" s="67"/>
      <c r="I716" s="67"/>
    </row>
    <row r="717" spans="1:9" s="5" customFormat="1" x14ac:dyDescent="0.3">
      <c r="A717" s="67"/>
      <c r="B717" s="67"/>
      <c r="C717" s="67"/>
      <c r="D717" s="67"/>
      <c r="E717" s="67"/>
      <c r="F717" s="67"/>
      <c r="G717" s="67"/>
      <c r="H717" s="67"/>
      <c r="I717" s="67"/>
    </row>
    <row r="718" spans="1:9" s="5" customFormat="1" x14ac:dyDescent="0.3">
      <c r="A718" s="67"/>
      <c r="B718" s="76" t="str">
        <f ca="1">_xlfn.FORMULATEXT(C709)</f>
        <v>=IFS(B709&lt;=$E$709,$F$709,B709&lt;=$E$710,$F$710,B709&lt;=$E$711,$F$711,B709&lt;=$E$712,$F$712,B709&gt;$E$712,$F$713)</v>
      </c>
      <c r="C718" s="76"/>
      <c r="D718" s="76"/>
      <c r="E718" s="67"/>
      <c r="F718" s="67"/>
      <c r="G718" s="67"/>
      <c r="H718" s="67"/>
      <c r="I718" s="67"/>
    </row>
    <row r="719" spans="1:9" s="5" customFormat="1" x14ac:dyDescent="0.3">
      <c r="A719" s="67"/>
      <c r="B719" s="67"/>
      <c r="C719" s="67"/>
      <c r="D719" s="67"/>
      <c r="E719" s="67"/>
      <c r="F719" s="67"/>
      <c r="G719" s="67"/>
      <c r="H719" s="67"/>
      <c r="I719" s="67"/>
    </row>
    <row r="720" spans="1:9" s="5" customFormat="1" x14ac:dyDescent="0.3">
      <c r="A720" s="22" t="s">
        <v>761</v>
      </c>
      <c r="B720" s="67"/>
      <c r="C720" s="67"/>
      <c r="D720" s="67"/>
      <c r="E720" s="67"/>
      <c r="F720" s="67"/>
      <c r="G720" s="67"/>
      <c r="H720" s="67"/>
      <c r="I720" s="67"/>
    </row>
    <row r="721" spans="1:9" s="5" customFormat="1" ht="124.8" x14ac:dyDescent="0.3">
      <c r="A721" s="67" t="s">
        <v>762</v>
      </c>
      <c r="B721" s="67"/>
      <c r="C721" s="67"/>
      <c r="D721" s="67"/>
      <c r="E721" s="67"/>
      <c r="F721" s="67"/>
      <c r="G721" s="67"/>
      <c r="H721" s="67"/>
      <c r="I721" s="67"/>
    </row>
    <row r="722" spans="1:9" s="5" customFormat="1" ht="124.8" x14ac:dyDescent="0.3">
      <c r="A722" s="67" t="s">
        <v>763</v>
      </c>
      <c r="B722" s="67"/>
      <c r="C722" s="67"/>
      <c r="D722" s="67"/>
      <c r="E722" s="67"/>
      <c r="F722" s="67"/>
      <c r="G722" s="67"/>
      <c r="H722" s="67"/>
      <c r="I722" s="67"/>
    </row>
    <row r="723" spans="1:9" s="5" customFormat="1" x14ac:dyDescent="0.3">
      <c r="A723" s="67"/>
      <c r="B723" s="67"/>
      <c r="C723" s="67"/>
      <c r="D723" s="67"/>
      <c r="E723" s="67"/>
      <c r="F723" s="67"/>
      <c r="G723" s="67"/>
      <c r="H723" s="67"/>
      <c r="I723" s="67"/>
    </row>
    <row r="724" spans="1:9" s="5" customFormat="1" x14ac:dyDescent="0.3">
      <c r="A724" s="10" t="s">
        <v>113</v>
      </c>
      <c r="B724" s="10" t="s">
        <v>203</v>
      </c>
      <c r="C724" s="10" t="s">
        <v>764</v>
      </c>
      <c r="D724" s="10" t="s">
        <v>765</v>
      </c>
      <c r="E724" s="10" t="s">
        <v>766</v>
      </c>
      <c r="F724" s="67"/>
      <c r="G724" s="67"/>
      <c r="H724" s="67"/>
      <c r="I724" s="67"/>
    </row>
    <row r="725" spans="1:9" s="5" customFormat="1" x14ac:dyDescent="0.3">
      <c r="A725" s="67" t="s">
        <v>767</v>
      </c>
      <c r="B725" s="67" t="s">
        <v>768</v>
      </c>
      <c r="C725" s="28" t="str" cm="1">
        <f t="array" ref="C725">_xlfn.SWITCH(B725,$A$736,$B$736,$A$737,$B$737,$A$738,$B$738,$A$739,$B$739,$A$740,$B$740,"Unknown")</f>
        <v>Marketing</v>
      </c>
      <c r="D725" s="28" t="str" cm="1">
        <f t="array" ref="D725">_xlfn.SWITCH(B725,$A$736,$C$736,$A$737,$C$737,$A$738,$C$738,$A$739,$C$739,$A$740,$C$740,"Unknown")</f>
        <v>Growth</v>
      </c>
      <c r="E725" s="67" t="s">
        <v>769</v>
      </c>
      <c r="F725" s="67"/>
      <c r="G725" s="67"/>
      <c r="H725" s="67"/>
      <c r="I725" s="67"/>
    </row>
    <row r="726" spans="1:9" s="5" customFormat="1" x14ac:dyDescent="0.3">
      <c r="A726" s="67" t="s">
        <v>117</v>
      </c>
      <c r="B726" s="67" t="s">
        <v>770</v>
      </c>
      <c r="C726" s="28" t="str" cm="1">
        <f t="array" ref="C726">_xlfn.SWITCH(B726,$A$736,$B$736,$A$737,$B$737,$A$738,$B$738,$A$739,$B$739,$A$740,$B$740,"Unknown")</f>
        <v>Engineering</v>
      </c>
      <c r="D726" s="28" t="str" cm="1">
        <f t="array" ref="D726">_xlfn.SWITCH(B726,$A$736,$C$736,$A$737,$C$737,$A$738,$C$738,$A$739,$C$739,$A$740,$C$740,"Unknown")</f>
        <v>Product</v>
      </c>
      <c r="E726" s="67" t="s">
        <v>771</v>
      </c>
      <c r="F726" s="67"/>
      <c r="G726" s="67"/>
      <c r="H726" s="67"/>
      <c r="I726" s="67"/>
    </row>
    <row r="727" spans="1:9" s="5" customFormat="1" x14ac:dyDescent="0.3">
      <c r="A727" s="67" t="s">
        <v>772</v>
      </c>
      <c r="B727" s="67" t="s">
        <v>773</v>
      </c>
      <c r="C727" s="28" t="str" cm="1">
        <f t="array" ref="C727">_xlfn.SWITCH(B727,$A$736,$B$736,$A$737,$B$737,$A$738,$B$738,$A$739,$B$739,$A$740,$B$740,"Unknown")</f>
        <v>Finance</v>
      </c>
      <c r="D727" s="28" t="str" cm="1">
        <f t="array" ref="D727">_xlfn.SWITCH(B727,$A$736,$C$736,$A$737,$C$737,$A$738,$C$738,$A$739,$C$739,$A$740,$C$740,"Unknown")</f>
        <v>Operations</v>
      </c>
      <c r="E727" s="67" t="s">
        <v>774</v>
      </c>
      <c r="F727" s="67"/>
      <c r="G727" s="67"/>
      <c r="H727" s="67"/>
      <c r="I727" s="67"/>
    </row>
    <row r="728" spans="1:9" s="5" customFormat="1" x14ac:dyDescent="0.3">
      <c r="A728" s="67" t="s">
        <v>687</v>
      </c>
      <c r="B728" s="67" t="s">
        <v>775</v>
      </c>
      <c r="C728" s="28" t="str" cm="1">
        <f t="array" ref="C728">_xlfn.SWITCH(B728,$A$736,$B$736,$A$737,$B$737,$A$738,$B$738,$A$739,$B$739,$A$740,$B$740,"Unknown")</f>
        <v>Operations</v>
      </c>
      <c r="D728" s="28" t="str" cm="1">
        <f t="array" ref="D728">_xlfn.SWITCH(B728,$A$736,$C$736,$A$737,$C$737,$A$738,$C$738,$A$739,$C$739,$A$740,$C$740,"Unknown")</f>
        <v>Operations</v>
      </c>
      <c r="E728" s="67" t="s">
        <v>776</v>
      </c>
      <c r="F728" s="67"/>
      <c r="G728" s="67"/>
      <c r="H728" s="67"/>
      <c r="I728" s="67"/>
    </row>
    <row r="729" spans="1:9" s="5" customFormat="1" x14ac:dyDescent="0.3">
      <c r="A729" s="67" t="s">
        <v>777</v>
      </c>
      <c r="B729" s="67" t="s">
        <v>116</v>
      </c>
      <c r="C729" s="28" t="str" cm="1">
        <f t="array" ref="C729">_xlfn.SWITCH(B729,$A$736,$B$736,$A$737,$B$737,$A$738,$B$738,$A$739,$B$739,$A$740,$B$740,"Unknown")</f>
        <v>Human Resources</v>
      </c>
      <c r="D729" s="28" t="str" cm="1">
        <f t="array" ref="D729">_xlfn.SWITCH(B729,$A$736,$C$736,$A$737,$C$737,$A$738,$C$738,$A$739,$C$739,$A$740,$C$740,"Unknown")</f>
        <v>People</v>
      </c>
      <c r="E729" s="67" t="s">
        <v>778</v>
      </c>
      <c r="F729" s="67"/>
      <c r="G729" s="67"/>
      <c r="H729" s="67"/>
      <c r="I729" s="67"/>
    </row>
    <row r="730" spans="1:9" x14ac:dyDescent="0.3">
      <c r="A730" s="67" t="s">
        <v>779</v>
      </c>
      <c r="B730" s="67" t="s">
        <v>770</v>
      </c>
      <c r="C730" s="28" t="str" cm="1">
        <f t="array" ref="C730">_xlfn.SWITCH(B730,$A$736,$B$736,$A$737,$B$737,$A$738,$B$738,$A$739,$B$739,$A$740,$B$740,"Unknown")</f>
        <v>Engineering</v>
      </c>
      <c r="D730" s="28" t="str" cm="1">
        <f t="array" ref="D730">_xlfn.SWITCH(B730,$A$736,$C$736,$A$737,$C$737,$A$738,$C$738,$A$739,$C$739,$A$740,$C$740,"Unknown")</f>
        <v>Product</v>
      </c>
      <c r="E730" s="67" t="s">
        <v>780</v>
      </c>
      <c r="F730" s="67"/>
      <c r="G730" s="67"/>
      <c r="H730" s="67"/>
      <c r="I730" s="67"/>
    </row>
    <row r="731" spans="1:9" x14ac:dyDescent="0.3">
      <c r="A731" s="67" t="s">
        <v>781</v>
      </c>
      <c r="B731" s="67" t="s">
        <v>768</v>
      </c>
      <c r="C731" s="28" t="str" cm="1">
        <f t="array" ref="C731">_xlfn.SWITCH(B731,$A$736,$B$736,$A$737,$B$737,$A$738,$B$738,$A$739,$B$739,$A$740,$B$740,"Unknown")</f>
        <v>Marketing</v>
      </c>
      <c r="D731" s="28" t="str" cm="1">
        <f t="array" ref="D731">_xlfn.SWITCH(B731,$A$736,$C$736,$A$737,$C$737,$A$738,$C$738,$A$739,$C$739,$A$740,$C$740,"Unknown")</f>
        <v>Growth</v>
      </c>
      <c r="E731" s="67" t="s">
        <v>782</v>
      </c>
      <c r="F731" s="67"/>
      <c r="G731" s="67"/>
      <c r="H731" s="67"/>
      <c r="I731" s="67"/>
    </row>
    <row r="732" spans="1:9" x14ac:dyDescent="0.3">
      <c r="A732" s="67" t="s">
        <v>783</v>
      </c>
      <c r="B732" s="67" t="s">
        <v>775</v>
      </c>
      <c r="C732" s="28" t="str" cm="1">
        <f t="array" ref="C732">_xlfn.SWITCH(B732,$A$736,$B$736,$A$737,$B$737,$A$738,$B$738,$A$739,$B$739,$A$740,$B$740,"Unknown")</f>
        <v>Operations</v>
      </c>
      <c r="D732" s="28" t="str" cm="1">
        <f t="array" ref="D732">_xlfn.SWITCH(B732,$A$736,$C$736,$A$737,$C$737,$A$738,$C$738,$A$739,$C$739,$A$740,$C$740,"Unknown")</f>
        <v>Operations</v>
      </c>
      <c r="E732" s="67" t="s">
        <v>784</v>
      </c>
      <c r="F732" s="67"/>
      <c r="G732" s="67"/>
      <c r="H732" s="67"/>
      <c r="I732" s="67"/>
    </row>
    <row r="733" spans="1:9" x14ac:dyDescent="0.3">
      <c r="A733" s="67"/>
      <c r="B733" s="67"/>
      <c r="C733" s="67"/>
      <c r="D733" s="67"/>
      <c r="E733" s="67"/>
      <c r="F733" s="67"/>
      <c r="G733" s="67"/>
      <c r="H733" s="67"/>
      <c r="I733" s="67"/>
    </row>
    <row r="734" spans="1:9" x14ac:dyDescent="0.3">
      <c r="A734" s="67"/>
      <c r="B734" s="67"/>
      <c r="C734" s="67"/>
      <c r="D734" s="67"/>
      <c r="E734" s="67"/>
      <c r="F734" s="67"/>
      <c r="G734" s="67"/>
      <c r="H734" s="67"/>
      <c r="I734" s="67"/>
    </row>
    <row r="735" spans="1:9" x14ac:dyDescent="0.3">
      <c r="A735" s="52" t="s">
        <v>785</v>
      </c>
      <c r="B735" s="52" t="s">
        <v>764</v>
      </c>
      <c r="C735" s="52" t="s">
        <v>765</v>
      </c>
      <c r="D735" s="67"/>
      <c r="E735" s="67"/>
      <c r="F735" s="67"/>
      <c r="G735" s="67"/>
      <c r="H735" s="67"/>
      <c r="I735" s="67"/>
    </row>
    <row r="736" spans="1:9" x14ac:dyDescent="0.3">
      <c r="A736" s="67" t="s">
        <v>768</v>
      </c>
      <c r="B736" s="67" t="s">
        <v>119</v>
      </c>
      <c r="C736" s="67" t="s">
        <v>786</v>
      </c>
      <c r="D736" s="67"/>
      <c r="E736" s="67"/>
      <c r="F736" s="67"/>
      <c r="G736" s="67"/>
      <c r="H736" s="67"/>
      <c r="I736" s="67"/>
    </row>
    <row r="737" spans="1:9" x14ac:dyDescent="0.3">
      <c r="A737" s="67" t="s">
        <v>770</v>
      </c>
      <c r="B737" s="67" t="s">
        <v>787</v>
      </c>
      <c r="C737" s="67" t="s">
        <v>46</v>
      </c>
      <c r="D737" s="67"/>
      <c r="E737" s="67"/>
      <c r="F737" s="67"/>
      <c r="G737" s="67"/>
      <c r="H737" s="67"/>
      <c r="I737" s="67"/>
    </row>
    <row r="738" spans="1:9" x14ac:dyDescent="0.3">
      <c r="A738" s="67" t="s">
        <v>773</v>
      </c>
      <c r="B738" s="67" t="s">
        <v>92</v>
      </c>
      <c r="C738" s="67" t="s">
        <v>90</v>
      </c>
      <c r="D738" s="67"/>
      <c r="E738" s="67"/>
      <c r="F738" s="67"/>
      <c r="G738" s="67"/>
      <c r="H738" s="67"/>
      <c r="I738" s="67"/>
    </row>
    <row r="739" spans="1:9" x14ac:dyDescent="0.3">
      <c r="A739" s="67" t="s">
        <v>775</v>
      </c>
      <c r="B739" s="67" t="s">
        <v>90</v>
      </c>
      <c r="C739" s="67" t="s">
        <v>90</v>
      </c>
      <c r="D739" s="67"/>
      <c r="E739" s="67"/>
      <c r="F739" s="67"/>
      <c r="G739" s="67"/>
      <c r="H739" s="67"/>
      <c r="I739" s="67"/>
    </row>
    <row r="740" spans="1:9" x14ac:dyDescent="0.3">
      <c r="A740" s="67" t="s">
        <v>116</v>
      </c>
      <c r="B740" s="67" t="s">
        <v>788</v>
      </c>
      <c r="C740" s="67" t="s">
        <v>94</v>
      </c>
      <c r="D740" s="67"/>
      <c r="E740" s="67"/>
      <c r="F740" s="67"/>
      <c r="G740" s="67"/>
      <c r="H740" s="67"/>
      <c r="I740" s="67"/>
    </row>
    <row r="742" spans="1:9" x14ac:dyDescent="0.3">
      <c r="B742" s="75" t="str">
        <f ca="1">_xlfn.FORMULATEXT(C725)</f>
        <v>=SWITCH(B725,$A$736,$B$736,$A$737,$B$737,$A$738,$B$738,$A$739,$B$739,$A$740,$B$740,"Unknown")</v>
      </c>
      <c r="C742" s="75"/>
      <c r="D742" s="75"/>
    </row>
    <row r="743" spans="1:9" x14ac:dyDescent="0.3">
      <c r="B743" s="75" t="str">
        <f ca="1">_xlfn.FORMULATEXT(D725)</f>
        <v>=SWITCH(B725,$A$736,$C$736,$A$737,$C$737,$A$738,$C$738,$A$739,$C$739,$A$740,$C$740,"Unknown")</v>
      </c>
      <c r="C743" s="75"/>
      <c r="D743" s="75"/>
    </row>
    <row r="744" spans="1:9" x14ac:dyDescent="0.3">
      <c r="A744" s="67"/>
      <c r="B744" s="2"/>
      <c r="C744" s="2"/>
      <c r="D744" s="2"/>
    </row>
    <row r="745" spans="1:9" x14ac:dyDescent="0.3">
      <c r="A745" s="22" t="s">
        <v>789</v>
      </c>
      <c r="B745" s="2"/>
      <c r="C745" s="2"/>
      <c r="D745" s="2"/>
    </row>
    <row r="746" spans="1:9" x14ac:dyDescent="0.3">
      <c r="A746" s="67" t="s">
        <v>790</v>
      </c>
    </row>
    <row r="747" spans="1:9" ht="31.2" x14ac:dyDescent="0.3">
      <c r="A747" s="67" t="s">
        <v>946</v>
      </c>
    </row>
    <row r="748" spans="1:9" ht="31.2" x14ac:dyDescent="0.3">
      <c r="A748" s="67" t="s">
        <v>947</v>
      </c>
    </row>
    <row r="749" spans="1:9" x14ac:dyDescent="0.3">
      <c r="A749" s="67" t="s">
        <v>948</v>
      </c>
    </row>
    <row r="750" spans="1:9" x14ac:dyDescent="0.3">
      <c r="A750" s="67"/>
    </row>
    <row r="751" spans="1:9" x14ac:dyDescent="0.3">
      <c r="A751" s="67" t="s">
        <v>791</v>
      </c>
      <c r="B751" s="67" t="s">
        <v>792</v>
      </c>
      <c r="C751" s="67" t="s">
        <v>793</v>
      </c>
    </row>
    <row r="752" spans="1:9" x14ac:dyDescent="0.3">
      <c r="A752" s="67">
        <v>8</v>
      </c>
      <c r="B752" s="67">
        <v>10</v>
      </c>
      <c r="C752" s="28">
        <f>IFERROR(B752/A752,0)</f>
        <v>1.25</v>
      </c>
    </row>
    <row r="753" spans="1:3" x14ac:dyDescent="0.3">
      <c r="A753" s="67">
        <v>2</v>
      </c>
      <c r="B753" s="67">
        <v>20</v>
      </c>
      <c r="C753" s="28">
        <f t="shared" ref="C753:C754" si="26">IFERROR(B753/A753,0)</f>
        <v>10</v>
      </c>
    </row>
    <row r="754" spans="1:3" x14ac:dyDescent="0.3">
      <c r="A754" s="67">
        <v>0</v>
      </c>
      <c r="B754" s="67">
        <v>5</v>
      </c>
      <c r="C754" s="28">
        <f t="shared" si="26"/>
        <v>0</v>
      </c>
    </row>
    <row r="755" spans="1:3" x14ac:dyDescent="0.3">
      <c r="A755" s="67"/>
    </row>
    <row r="756" spans="1:3" x14ac:dyDescent="0.3">
      <c r="A756" s="67"/>
      <c r="B756" s="75" t="str">
        <f ca="1">_xlfn.FORMULATEXT(C752)</f>
        <v>=IFERROR(B752/A752,0)</v>
      </c>
      <c r="C756" s="75"/>
    </row>
    <row r="757" spans="1:3" x14ac:dyDescent="0.3">
      <c r="A757" s="67"/>
    </row>
    <row r="758" spans="1:3" x14ac:dyDescent="0.3">
      <c r="A758" s="22" t="s">
        <v>794</v>
      </c>
    </row>
    <row r="759" spans="1:3" ht="187.2" x14ac:dyDescent="0.3">
      <c r="A759" s="67" t="s">
        <v>795</v>
      </c>
    </row>
    <row r="760" spans="1:3" ht="234" x14ac:dyDescent="0.3">
      <c r="A760" s="67" t="s">
        <v>796</v>
      </c>
    </row>
    <row r="761" spans="1:3" x14ac:dyDescent="0.3">
      <c r="A761" s="67"/>
      <c r="B761" s="65"/>
      <c r="C761" s="67" t="s">
        <v>797</v>
      </c>
    </row>
    <row r="762" spans="1:3" x14ac:dyDescent="0.3">
      <c r="A762" s="67" t="s">
        <v>798</v>
      </c>
      <c r="B762" s="65" t="e">
        <v>#DIV/0!</v>
      </c>
      <c r="C762" s="28" t="str">
        <f>IF(ISERROR(B762),"Error","Not Error")</f>
        <v>Error</v>
      </c>
    </row>
    <row r="763" spans="1:3" x14ac:dyDescent="0.3">
      <c r="A763" s="67" t="s">
        <v>799</v>
      </c>
      <c r="B763" s="65">
        <v>10</v>
      </c>
      <c r="C763" s="28" t="str">
        <f>IF(ISERROR(B763),"Error","Not Error")</f>
        <v>Not Error</v>
      </c>
    </row>
    <row r="764" spans="1:3" x14ac:dyDescent="0.3">
      <c r="A764" s="67"/>
      <c r="B764" s="66"/>
    </row>
    <row r="765" spans="1:3" x14ac:dyDescent="0.3">
      <c r="A765" s="67"/>
      <c r="C765" s="3" t="str">
        <f ca="1">_xlfn.FORMULATEXT(C762)</f>
        <v>=IF(ISERROR(B762),"Error","Not Error")</v>
      </c>
    </row>
    <row r="766" spans="1:3" x14ac:dyDescent="0.3">
      <c r="A766" s="67"/>
    </row>
    <row r="767" spans="1:3" x14ac:dyDescent="0.3">
      <c r="A767" s="22" t="s">
        <v>800</v>
      </c>
    </row>
    <row r="768" spans="1:3" ht="171.6" x14ac:dyDescent="0.3">
      <c r="A768" s="67" t="s">
        <v>801</v>
      </c>
    </row>
    <row r="769" spans="1:5" x14ac:dyDescent="0.3">
      <c r="A769" s="67"/>
    </row>
    <row r="770" spans="1:5" x14ac:dyDescent="0.3">
      <c r="A770" s="67"/>
      <c r="B770" s="67" t="s">
        <v>30</v>
      </c>
      <c r="C770" s="67" t="s">
        <v>802</v>
      </c>
      <c r="D770" s="67" t="s">
        <v>803</v>
      </c>
    </row>
    <row r="771" spans="1:5" x14ac:dyDescent="0.3">
      <c r="A771" s="67" t="s">
        <v>804</v>
      </c>
      <c r="B771" s="67" t="e">
        <v>#DIV/0!</v>
      </c>
      <c r="C771" s="67" t="b">
        <v>1</v>
      </c>
      <c r="D771" s="8" t="b">
        <f>NOT(ISERROR(B771))</f>
        <v>0</v>
      </c>
    </row>
    <row r="772" spans="1:5" x14ac:dyDescent="0.3">
      <c r="A772" s="67" t="s">
        <v>805</v>
      </c>
      <c r="B772" s="67" t="s">
        <v>805</v>
      </c>
      <c r="C772" s="67" t="b">
        <v>0</v>
      </c>
      <c r="D772" s="8" t="b">
        <f>NOT(ISERROR(B772))</f>
        <v>1</v>
      </c>
    </row>
    <row r="773" spans="1:5" x14ac:dyDescent="0.3">
      <c r="A773" s="67"/>
    </row>
    <row r="774" spans="1:5" x14ac:dyDescent="0.3">
      <c r="A774" s="67"/>
      <c r="D774" s="2" t="str">
        <f ca="1">_xlfn.FORMULATEXT(D771)</f>
        <v>=NOT(ISERROR(B771))</v>
      </c>
    </row>
    <row r="775" spans="1:5" x14ac:dyDescent="0.3">
      <c r="A775" s="67"/>
    </row>
    <row r="776" spans="1:5" x14ac:dyDescent="0.3">
      <c r="A776" s="22" t="s">
        <v>806</v>
      </c>
    </row>
    <row r="777" spans="1:5" ht="31.2" x14ac:dyDescent="0.3">
      <c r="A777" s="67" t="s">
        <v>807</v>
      </c>
    </row>
    <row r="778" spans="1:5" x14ac:dyDescent="0.3">
      <c r="A778" s="67"/>
    </row>
    <row r="779" spans="1:5" ht="31.2" x14ac:dyDescent="0.3">
      <c r="A779" s="67" t="s">
        <v>808</v>
      </c>
    </row>
    <row r="780" spans="1:5" x14ac:dyDescent="0.3">
      <c r="A780" s="67"/>
    </row>
    <row r="781" spans="1:5" ht="46.8" x14ac:dyDescent="0.3">
      <c r="A781" s="67" t="s">
        <v>826</v>
      </c>
    </row>
    <row r="782" spans="1:5" x14ac:dyDescent="0.3">
      <c r="A782" s="67"/>
    </row>
    <row r="783" spans="1:5" x14ac:dyDescent="0.3">
      <c r="A783" s="53" t="s">
        <v>362</v>
      </c>
      <c r="B783" s="53" t="s">
        <v>809</v>
      </c>
      <c r="C783" s="53" t="s">
        <v>810</v>
      </c>
      <c r="D783" s="53" t="s">
        <v>811</v>
      </c>
      <c r="E783" s="67"/>
    </row>
    <row r="784" spans="1:5" x14ac:dyDescent="0.3">
      <c r="A784" s="67" t="s">
        <v>812</v>
      </c>
      <c r="B784" s="67">
        <v>10000</v>
      </c>
      <c r="C784" s="67">
        <v>10000</v>
      </c>
      <c r="D784" s="67"/>
      <c r="E784" s="67"/>
    </row>
    <row r="785" spans="1:5" x14ac:dyDescent="0.3">
      <c r="A785" s="67" t="s">
        <v>813</v>
      </c>
      <c r="B785" s="67">
        <v>620</v>
      </c>
      <c r="C785" s="67">
        <v>710</v>
      </c>
      <c r="D785" s="67"/>
      <c r="E785" s="67"/>
    </row>
    <row r="786" spans="1:5" x14ac:dyDescent="0.3">
      <c r="A786" s="67" t="s">
        <v>814</v>
      </c>
      <c r="B786" s="8">
        <f>B785/B784</f>
        <v>6.2E-2</v>
      </c>
      <c r="C786" s="8">
        <f>C785/C784</f>
        <v>7.0999999999999994E-2</v>
      </c>
      <c r="D786" s="67"/>
      <c r="E786" s="67"/>
    </row>
    <row r="787" spans="1:5" x14ac:dyDescent="0.3">
      <c r="A787" s="67" t="s">
        <v>815</v>
      </c>
      <c r="B787" s="54">
        <f>SQRT(B786*(1-B786)/B784)</f>
        <v>2.411555514600483E-3</v>
      </c>
      <c r="C787" s="8">
        <f>SQRT(C786*(1-C786)/C784)</f>
        <v>2.5682484303509272E-3</v>
      </c>
      <c r="D787" s="55" t="s">
        <v>816</v>
      </c>
      <c r="E787" s="67"/>
    </row>
    <row r="788" spans="1:5" x14ac:dyDescent="0.3">
      <c r="A788" s="67"/>
      <c r="B788" s="67"/>
      <c r="C788" s="67"/>
      <c r="D788" s="67"/>
      <c r="E788" s="67"/>
    </row>
    <row r="789" spans="1:5" x14ac:dyDescent="0.3">
      <c r="A789" s="53" t="s">
        <v>817</v>
      </c>
      <c r="B789" s="53"/>
      <c r="C789" s="53" t="s">
        <v>811</v>
      </c>
      <c r="D789" s="67"/>
      <c r="E789" s="67"/>
    </row>
    <row r="790" spans="1:5" x14ac:dyDescent="0.3">
      <c r="A790" s="67" t="s">
        <v>818</v>
      </c>
      <c r="B790" s="8">
        <f>(C786-B786)/B786</f>
        <v>0.14516129032258054</v>
      </c>
      <c r="C790" s="55" t="s">
        <v>819</v>
      </c>
      <c r="D790" s="67"/>
      <c r="E790" s="67"/>
    </row>
    <row r="791" spans="1:5" x14ac:dyDescent="0.3">
      <c r="A791" s="67" t="s">
        <v>820</v>
      </c>
      <c r="B791" s="8">
        <f>SQRT(((B785+C785)/(B784+C784))*(1-((B785+C785)/(B784+C784)))*(1/B784+1/C784))</f>
        <v>3.5235706321854825E-3</v>
      </c>
      <c r="C791" s="55" t="s">
        <v>821</v>
      </c>
      <c r="D791" s="67"/>
      <c r="E791" s="67"/>
    </row>
    <row r="792" spans="1:5" x14ac:dyDescent="0.3">
      <c r="A792" s="67" t="s">
        <v>822</v>
      </c>
      <c r="B792" s="8">
        <f>(C786-B786)/B791</f>
        <v>2.554227214232903</v>
      </c>
      <c r="C792" s="55" t="s">
        <v>823</v>
      </c>
      <c r="D792" s="67"/>
      <c r="E792" s="67"/>
    </row>
    <row r="793" spans="1:5" x14ac:dyDescent="0.3">
      <c r="A793" s="67" t="s">
        <v>824</v>
      </c>
      <c r="B793" s="8" t="str">
        <f>IF(ABS(B792)&gt;1.96,"Yes","No")</f>
        <v>Yes</v>
      </c>
      <c r="C793" s="55" t="s">
        <v>825</v>
      </c>
      <c r="D793" s="67"/>
      <c r="E793" s="67"/>
    </row>
    <row r="794" spans="1:5" x14ac:dyDescent="0.3">
      <c r="A794" s="67"/>
    </row>
    <row r="795" spans="1:5" x14ac:dyDescent="0.3">
      <c r="A795" s="67"/>
      <c r="B795" s="3" t="str">
        <f ca="1">_xlfn.FORMULATEXT(B787)</f>
        <v>=SQRT(B786*(1-B786)/B784)</v>
      </c>
    </row>
    <row r="796" spans="1:5" x14ac:dyDescent="0.3">
      <c r="A796" s="67"/>
    </row>
    <row r="797" spans="1:5" x14ac:dyDescent="0.3">
      <c r="A797" s="22" t="s">
        <v>827</v>
      </c>
    </row>
    <row r="798" spans="1:5" ht="31.2" x14ac:dyDescent="0.3">
      <c r="A798" s="67" t="s">
        <v>828</v>
      </c>
    </row>
    <row r="799" spans="1:5" x14ac:dyDescent="0.3">
      <c r="A799" s="67"/>
    </row>
    <row r="800" spans="1:5" ht="46.8" x14ac:dyDescent="0.3">
      <c r="A800" s="67" t="s">
        <v>834</v>
      </c>
    </row>
    <row r="801" spans="1:3" x14ac:dyDescent="0.3">
      <c r="A801" s="67" t="s">
        <v>829</v>
      </c>
    </row>
    <row r="802" spans="1:3" x14ac:dyDescent="0.3">
      <c r="A802" s="67" t="s">
        <v>832</v>
      </c>
    </row>
    <row r="803" spans="1:3" x14ac:dyDescent="0.3">
      <c r="A803" s="67" t="s">
        <v>830</v>
      </c>
    </row>
    <row r="804" spans="1:3" x14ac:dyDescent="0.3">
      <c r="A804" s="67" t="s">
        <v>835</v>
      </c>
    </row>
    <row r="805" spans="1:3" x14ac:dyDescent="0.3">
      <c r="A805" s="67" t="s">
        <v>836</v>
      </c>
    </row>
    <row r="806" spans="1:3" x14ac:dyDescent="0.3">
      <c r="A806" s="67" t="s">
        <v>837</v>
      </c>
    </row>
    <row r="807" spans="1:3" x14ac:dyDescent="0.3">
      <c r="A807" s="67" t="s">
        <v>831</v>
      </c>
    </row>
    <row r="808" spans="1:3" x14ac:dyDescent="0.3">
      <c r="A808" s="67" t="s">
        <v>833</v>
      </c>
    </row>
    <row r="809" spans="1:3" x14ac:dyDescent="0.3">
      <c r="A809" s="67"/>
    </row>
    <row r="810" spans="1:3" x14ac:dyDescent="0.3">
      <c r="A810" s="10" t="s">
        <v>73</v>
      </c>
      <c r="B810" s="10" t="s">
        <v>838</v>
      </c>
      <c r="C810" s="10" t="s">
        <v>839</v>
      </c>
    </row>
    <row r="811" spans="1:3" x14ac:dyDescent="0.3">
      <c r="A811" s="67" t="s">
        <v>75</v>
      </c>
      <c r="B811" s="67">
        <v>50</v>
      </c>
      <c r="C811" s="67">
        <v>24</v>
      </c>
    </row>
    <row r="812" spans="1:3" x14ac:dyDescent="0.3">
      <c r="A812" s="67" t="s">
        <v>76</v>
      </c>
      <c r="B812" s="67">
        <v>60</v>
      </c>
      <c r="C812" s="67">
        <v>20</v>
      </c>
    </row>
    <row r="813" spans="1:3" x14ac:dyDescent="0.3">
      <c r="A813" s="67" t="s">
        <v>77</v>
      </c>
      <c r="B813" s="67">
        <v>0</v>
      </c>
      <c r="C813" s="67" t="e">
        <v>#DIV/0!</v>
      </c>
    </row>
    <row r="814" spans="1:3" x14ac:dyDescent="0.3">
      <c r="A814" s="67" t="s">
        <v>78</v>
      </c>
      <c r="B814" s="67">
        <v>40</v>
      </c>
      <c r="C814" s="67">
        <v>30</v>
      </c>
    </row>
    <row r="815" spans="1:3" x14ac:dyDescent="0.3">
      <c r="A815" s="67" t="s">
        <v>79</v>
      </c>
      <c r="B815" s="67">
        <v>80</v>
      </c>
      <c r="C815" s="67">
        <v>15</v>
      </c>
    </row>
    <row r="816" spans="1:3" x14ac:dyDescent="0.3">
      <c r="A816" s="67" t="s">
        <v>80</v>
      </c>
      <c r="B816" s="67">
        <v>0</v>
      </c>
      <c r="C816" s="67" t="e">
        <v>#DIV/0!</v>
      </c>
    </row>
    <row r="817" spans="1:3" x14ac:dyDescent="0.3">
      <c r="A817" s="67" t="s">
        <v>81</v>
      </c>
      <c r="B817" s="67" t="s">
        <v>840</v>
      </c>
      <c r="C817" s="67" t="e">
        <v>#VALUE!</v>
      </c>
    </row>
    <row r="818" spans="1:3" x14ac:dyDescent="0.3">
      <c r="A818" s="67" t="s">
        <v>82</v>
      </c>
      <c r="B818" s="67">
        <v>30</v>
      </c>
      <c r="C818" s="67">
        <v>40</v>
      </c>
    </row>
    <row r="819" spans="1:3" x14ac:dyDescent="0.3">
      <c r="A819" s="67" t="s">
        <v>841</v>
      </c>
      <c r="B819" s="67">
        <v>100</v>
      </c>
      <c r="C819" s="67">
        <v>12</v>
      </c>
    </row>
    <row r="820" spans="1:3" x14ac:dyDescent="0.3">
      <c r="A820" s="67" t="s">
        <v>842</v>
      </c>
      <c r="B820" s="67">
        <v>75</v>
      </c>
      <c r="C820" s="67">
        <v>16</v>
      </c>
    </row>
    <row r="821" spans="1:3" x14ac:dyDescent="0.3">
      <c r="A821" s="67" t="s">
        <v>843</v>
      </c>
      <c r="B821" s="67">
        <v>25</v>
      </c>
      <c r="C821" s="67">
        <v>48</v>
      </c>
    </row>
    <row r="822" spans="1:3" x14ac:dyDescent="0.3">
      <c r="A822" s="67"/>
      <c r="B822" s="67"/>
      <c r="C822" s="67"/>
    </row>
    <row r="823" spans="1:3" x14ac:dyDescent="0.3">
      <c r="A823" s="67" t="s">
        <v>844</v>
      </c>
      <c r="B823" s="8" t="e">
        <f>AVERAGE(C811:C821)</f>
        <v>#DIV/0!</v>
      </c>
      <c r="C823" s="67" t="str">
        <f ca="1">_xlfn.FORMULATEXT(B823)</f>
        <v>=AVERAGE(C811:C821)</v>
      </c>
    </row>
    <row r="824" spans="1:3" x14ac:dyDescent="0.3">
      <c r="A824" s="67" t="s">
        <v>845</v>
      </c>
      <c r="B824" s="8">
        <f>_xlfn.AGGREGATE(1,6,C811:C821)</f>
        <v>25.625</v>
      </c>
      <c r="C824" s="67" t="str">
        <f ca="1">_xlfn.FORMULATEXT(B824)</f>
        <v>=AGGREGATE(1,6,C811:C821)</v>
      </c>
    </row>
    <row r="825" spans="1:3" x14ac:dyDescent="0.3">
      <c r="A825" s="67" t="s">
        <v>846</v>
      </c>
      <c r="B825" s="8">
        <f>_xlfn.AGGREGATE(2,6,C811:C821)</f>
        <v>8</v>
      </c>
      <c r="C825" s="67" t="str">
        <f ca="1">_xlfn.FORMULATEXT(B825)</f>
        <v>=AGGREGATE(2,6,C811:C821)</v>
      </c>
    </row>
    <row r="826" spans="1:3" x14ac:dyDescent="0.3">
      <c r="A826" s="67"/>
    </row>
    <row r="827" spans="1:3" x14ac:dyDescent="0.3">
      <c r="A827" s="22" t="s">
        <v>847</v>
      </c>
    </row>
    <row r="828" spans="1:3" ht="31.2" x14ac:dyDescent="0.3">
      <c r="A828" s="67" t="s">
        <v>848</v>
      </c>
    </row>
    <row r="829" spans="1:3" x14ac:dyDescent="0.3">
      <c r="A829" s="67"/>
    </row>
    <row r="830" spans="1:3" x14ac:dyDescent="0.3">
      <c r="A830" s="67" t="s">
        <v>849</v>
      </c>
    </row>
    <row r="831" spans="1:3" x14ac:dyDescent="0.3">
      <c r="A831" s="67"/>
    </row>
    <row r="832" spans="1:3" x14ac:dyDescent="0.3">
      <c r="A832" s="67" t="s">
        <v>857</v>
      </c>
    </row>
    <row r="833" spans="1:5" x14ac:dyDescent="0.3">
      <c r="A833" s="67" t="s">
        <v>858</v>
      </c>
    </row>
    <row r="834" spans="1:5" x14ac:dyDescent="0.3">
      <c r="A834" s="67" t="s">
        <v>859</v>
      </c>
    </row>
    <row r="835" spans="1:5" x14ac:dyDescent="0.3">
      <c r="A835" s="67"/>
    </row>
    <row r="836" spans="1:5" x14ac:dyDescent="0.3">
      <c r="A836" s="67" t="s">
        <v>850</v>
      </c>
    </row>
    <row r="837" spans="1:5" ht="156" x14ac:dyDescent="0.3">
      <c r="A837" s="67" t="s">
        <v>851</v>
      </c>
    </row>
    <row r="838" spans="1:5" x14ac:dyDescent="0.3">
      <c r="A838" s="67"/>
    </row>
    <row r="839" spans="1:5" x14ac:dyDescent="0.3">
      <c r="A839" s="10" t="s">
        <v>46</v>
      </c>
      <c r="B839" s="10" t="s">
        <v>852</v>
      </c>
      <c r="C839" s="56" t="s">
        <v>853</v>
      </c>
      <c r="D839" s="10" t="s">
        <v>854</v>
      </c>
      <c r="E839" s="10" t="s">
        <v>855</v>
      </c>
    </row>
    <row r="840" spans="1:5" x14ac:dyDescent="0.3">
      <c r="A840" s="67" t="s">
        <v>614</v>
      </c>
      <c r="B840" s="67">
        <v>1200</v>
      </c>
      <c r="C840" s="57">
        <v>1450</v>
      </c>
      <c r="D840" s="67" t="e">
        <v>#N/A</v>
      </c>
      <c r="E840" s="67">
        <v>1600</v>
      </c>
    </row>
    <row r="841" spans="1:5" x14ac:dyDescent="0.3">
      <c r="A841" s="67" t="s">
        <v>615</v>
      </c>
      <c r="B841" s="67">
        <v>850</v>
      </c>
      <c r="C841" s="57" t="e">
        <v>#N/A</v>
      </c>
      <c r="D841" s="67">
        <v>920</v>
      </c>
      <c r="E841" s="67">
        <v>1100</v>
      </c>
    </row>
    <row r="842" spans="1:5" x14ac:dyDescent="0.3">
      <c r="A842" s="67" t="s">
        <v>617</v>
      </c>
      <c r="B842" s="67">
        <v>2100</v>
      </c>
      <c r="C842" s="57">
        <v>2300</v>
      </c>
      <c r="D842" s="67">
        <v>2150</v>
      </c>
      <c r="E842" s="67" t="e">
        <v>#N/A</v>
      </c>
    </row>
    <row r="843" spans="1:5" x14ac:dyDescent="0.3">
      <c r="A843" s="67" t="s">
        <v>618</v>
      </c>
      <c r="B843" s="67">
        <v>1500</v>
      </c>
      <c r="C843" s="57">
        <v>1650</v>
      </c>
      <c r="D843" s="67">
        <v>1800</v>
      </c>
      <c r="E843" s="67">
        <v>1950</v>
      </c>
    </row>
    <row r="844" spans="1:5" x14ac:dyDescent="0.3">
      <c r="A844" s="67" t="s">
        <v>620</v>
      </c>
      <c r="B844" s="67" t="e">
        <v>#N/A</v>
      </c>
      <c r="C844" s="57">
        <v>780</v>
      </c>
      <c r="D844" s="67">
        <v>850</v>
      </c>
      <c r="E844" s="67">
        <v>920</v>
      </c>
    </row>
    <row r="845" spans="1:5" x14ac:dyDescent="0.3">
      <c r="A845" s="67"/>
      <c r="B845" s="67"/>
      <c r="C845" s="67"/>
      <c r="D845" s="67"/>
      <c r="E845" s="67"/>
    </row>
    <row r="846" spans="1:5" x14ac:dyDescent="0.3">
      <c r="A846" s="67" t="s">
        <v>856</v>
      </c>
      <c r="B846" s="67"/>
      <c r="C846" s="28">
        <f>_xlfn.AGGREGATE(9,6,C840:C844)</f>
        <v>6180</v>
      </c>
      <c r="D846" s="67"/>
      <c r="E846" s="67"/>
    </row>
    <row r="847" spans="1:5" x14ac:dyDescent="0.3">
      <c r="A847" s="67"/>
      <c r="B847" s="67"/>
      <c r="C847" s="67" t="str">
        <f ca="1">_xlfn.FORMULATEXT(C846)</f>
        <v>=AGGREGATE(9,6,C840:C844)</v>
      </c>
      <c r="D847" s="67"/>
      <c r="E847" s="67"/>
    </row>
    <row r="848" spans="1:5" x14ac:dyDescent="0.3">
      <c r="A848" s="67"/>
    </row>
    <row r="849" spans="1:7" x14ac:dyDescent="0.3">
      <c r="A849" s="22" t="s">
        <v>860</v>
      </c>
    </row>
    <row r="850" spans="1:7" ht="31.2" x14ac:dyDescent="0.3">
      <c r="A850" s="67" t="s">
        <v>861</v>
      </c>
    </row>
    <row r="851" spans="1:7" x14ac:dyDescent="0.3">
      <c r="A851" s="67" t="s">
        <v>862</v>
      </c>
    </row>
    <row r="852" spans="1:7" x14ac:dyDescent="0.3">
      <c r="A852" s="30" t="s">
        <v>863</v>
      </c>
    </row>
    <row r="853" spans="1:7" x14ac:dyDescent="0.3">
      <c r="A853" s="30" t="s">
        <v>864</v>
      </c>
    </row>
    <row r="854" spans="1:7" x14ac:dyDescent="0.3">
      <c r="A854" s="20"/>
    </row>
    <row r="855" spans="1:7" x14ac:dyDescent="0.3">
      <c r="A855" s="67" t="s">
        <v>865</v>
      </c>
    </row>
    <row r="856" spans="1:7" x14ac:dyDescent="0.3">
      <c r="A856" s="30" t="s">
        <v>886</v>
      </c>
    </row>
    <row r="857" spans="1:7" x14ac:dyDescent="0.3">
      <c r="A857" s="30" t="s">
        <v>887</v>
      </c>
    </row>
    <row r="858" spans="1:7" x14ac:dyDescent="0.3">
      <c r="A858" s="30" t="s">
        <v>888</v>
      </c>
    </row>
    <row r="859" spans="1:7" x14ac:dyDescent="0.3">
      <c r="A859" s="30" t="s">
        <v>889</v>
      </c>
    </row>
    <row r="860" spans="1:7" ht="218.4" x14ac:dyDescent="0.3">
      <c r="A860" s="67" t="s">
        <v>885</v>
      </c>
    </row>
    <row r="861" spans="1:7" x14ac:dyDescent="0.3">
      <c r="A861" s="67"/>
    </row>
    <row r="862" spans="1:7" x14ac:dyDescent="0.3">
      <c r="A862" s="10" t="s">
        <v>866</v>
      </c>
      <c r="B862" s="10" t="s">
        <v>867</v>
      </c>
      <c r="C862" s="10" t="s">
        <v>868</v>
      </c>
      <c r="D862" s="10" t="s">
        <v>869</v>
      </c>
      <c r="E862" s="10" t="s">
        <v>870</v>
      </c>
      <c r="F862" s="10" t="s">
        <v>871</v>
      </c>
      <c r="G862" s="10" t="s">
        <v>872</v>
      </c>
    </row>
    <row r="863" spans="1:7" x14ac:dyDescent="0.3">
      <c r="A863" s="67" t="s">
        <v>873</v>
      </c>
      <c r="B863" s="67" t="s">
        <v>874</v>
      </c>
      <c r="C863" s="21">
        <v>45611</v>
      </c>
      <c r="D863" s="67">
        <v>2500</v>
      </c>
      <c r="E863" s="21">
        <v>45646</v>
      </c>
      <c r="F863" s="58">
        <f>E863-C863</f>
        <v>35</v>
      </c>
      <c r="G863" s="28" t="str">
        <f>IF(F863&lt;=30,"Current",IF(F863&lt;=60,"Slightly overdue",IF(F863&lt;=90,"Moderately overdue","Seriously overdue")))</f>
        <v>Slightly overdue</v>
      </c>
    </row>
    <row r="864" spans="1:7" x14ac:dyDescent="0.3">
      <c r="A864" s="67" t="s">
        <v>875</v>
      </c>
      <c r="B864" s="67" t="s">
        <v>876</v>
      </c>
      <c r="C864" s="21">
        <v>45590</v>
      </c>
      <c r="D864" s="67">
        <v>1800</v>
      </c>
      <c r="E864" s="21">
        <v>45646</v>
      </c>
      <c r="F864" s="58">
        <f t="shared" ref="F864:F868" si="27">E864-C864</f>
        <v>56</v>
      </c>
      <c r="G864" s="28" t="str">
        <f t="shared" ref="G864:G868" si="28">IF(F864&lt;=30,"Current",IF(F864&lt;=60,"Slightly overdue",IF(F864&lt;=90,"Moderately overdue","Seriously overdue")))</f>
        <v>Slightly overdue</v>
      </c>
    </row>
    <row r="865" spans="1:9" x14ac:dyDescent="0.3">
      <c r="A865" s="67" t="s">
        <v>877</v>
      </c>
      <c r="B865" s="67" t="s">
        <v>878</v>
      </c>
      <c r="C865" s="21">
        <v>45631</v>
      </c>
      <c r="D865" s="67">
        <v>3200</v>
      </c>
      <c r="E865" s="21">
        <v>45646</v>
      </c>
      <c r="F865" s="58">
        <f t="shared" si="27"/>
        <v>15</v>
      </c>
      <c r="G865" s="28" t="str">
        <f t="shared" si="28"/>
        <v>Current</v>
      </c>
    </row>
    <row r="866" spans="1:9" x14ac:dyDescent="0.3">
      <c r="A866" s="67" t="s">
        <v>879</v>
      </c>
      <c r="B866" s="67" t="s">
        <v>880</v>
      </c>
      <c r="C866" s="21">
        <v>45545</v>
      </c>
      <c r="D866" s="67">
        <v>4100</v>
      </c>
      <c r="E866" s="21">
        <v>45646</v>
      </c>
      <c r="F866" s="58">
        <f t="shared" si="27"/>
        <v>101</v>
      </c>
      <c r="G866" s="28" t="str">
        <f t="shared" si="28"/>
        <v>Seriously overdue</v>
      </c>
    </row>
    <row r="867" spans="1:9" x14ac:dyDescent="0.3">
      <c r="A867" s="67" t="s">
        <v>881</v>
      </c>
      <c r="B867" s="67" t="s">
        <v>882</v>
      </c>
      <c r="C867" s="21">
        <v>45624</v>
      </c>
      <c r="D867" s="67">
        <v>950</v>
      </c>
      <c r="E867" s="21">
        <v>45646</v>
      </c>
      <c r="F867" s="58">
        <f t="shared" si="27"/>
        <v>22</v>
      </c>
      <c r="G867" s="28" t="str">
        <f t="shared" si="28"/>
        <v>Current</v>
      </c>
    </row>
    <row r="868" spans="1:9" x14ac:dyDescent="0.3">
      <c r="A868" s="67" t="s">
        <v>883</v>
      </c>
      <c r="B868" s="67" t="s">
        <v>884</v>
      </c>
      <c r="C868" s="21">
        <v>45566</v>
      </c>
      <c r="D868" s="67">
        <v>2750</v>
      </c>
      <c r="E868" s="21">
        <v>45646</v>
      </c>
      <c r="F868" s="58">
        <f t="shared" si="27"/>
        <v>80</v>
      </c>
      <c r="G868" s="28" t="str">
        <f t="shared" si="28"/>
        <v>Moderately overdue</v>
      </c>
    </row>
    <row r="869" spans="1:9" x14ac:dyDescent="0.3">
      <c r="A869" s="67"/>
      <c r="F869" s="3" t="str">
        <f ca="1">_xlfn.FORMULATEXT(F868)</f>
        <v>=E868-C868</v>
      </c>
      <c r="G869" s="72" t="str">
        <f ca="1">_xlfn.FORMULATEXT(G868)</f>
        <v>=IF(F868&lt;=30,"Current",IF(F868&lt;=60,"Slightly overdue",IF(F868&lt;=90,"Moderately overdue","Seriously overdue")))</v>
      </c>
      <c r="H869" s="72"/>
      <c r="I869" s="72"/>
    </row>
    <row r="870" spans="1:9" x14ac:dyDescent="0.3">
      <c r="A870" s="67"/>
      <c r="G870" s="72"/>
      <c r="H870" s="72"/>
      <c r="I870" s="72"/>
    </row>
    <row r="871" spans="1:9" x14ac:dyDescent="0.3">
      <c r="A871" s="67"/>
    </row>
    <row r="872" spans="1:9" x14ac:dyDescent="0.3">
      <c r="A872" s="22" t="s">
        <v>890</v>
      </c>
    </row>
    <row r="873" spans="1:9" ht="234" x14ac:dyDescent="0.3">
      <c r="A873" s="67" t="s">
        <v>891</v>
      </c>
    </row>
    <row r="874" spans="1:9" x14ac:dyDescent="0.3">
      <c r="A874" s="13" t="s">
        <v>892</v>
      </c>
      <c r="B874" s="59">
        <v>45731</v>
      </c>
      <c r="C874" s="67"/>
      <c r="D874" s="67"/>
      <c r="E874" s="67"/>
    </row>
    <row r="875" spans="1:9" x14ac:dyDescent="0.3">
      <c r="A875" s="67"/>
      <c r="B875" s="67"/>
      <c r="C875" s="67"/>
      <c r="D875" s="67"/>
      <c r="E875" s="67"/>
    </row>
    <row r="876" spans="1:9" x14ac:dyDescent="0.3">
      <c r="A876" s="13" t="s">
        <v>695</v>
      </c>
      <c r="B876" s="13" t="s">
        <v>867</v>
      </c>
      <c r="C876" s="13" t="s">
        <v>868</v>
      </c>
      <c r="D876" s="13" t="s">
        <v>869</v>
      </c>
      <c r="E876" s="60" t="s">
        <v>872</v>
      </c>
    </row>
    <row r="877" spans="1:9" x14ac:dyDescent="0.3">
      <c r="A877" s="67" t="s">
        <v>698</v>
      </c>
      <c r="B877" s="67" t="s">
        <v>893</v>
      </c>
      <c r="C877" s="21">
        <v>45731</v>
      </c>
      <c r="D877" s="67">
        <v>1250</v>
      </c>
      <c r="E877" s="8" t="str">
        <f>IF($B$874-C877&lt;=0,"Current",IF($B$874-C877&lt;=30,"1-30 Days",IF($B$874-C877&lt;=60,"31-60 Days",IF($B$874-C877&lt;=90,"61-90 Days","90+ Days"))))</f>
        <v>Current</v>
      </c>
    </row>
    <row r="878" spans="1:9" x14ac:dyDescent="0.3">
      <c r="A878" s="67" t="s">
        <v>700</v>
      </c>
      <c r="B878" s="67" t="s">
        <v>895</v>
      </c>
      <c r="C878" s="21">
        <v>45731</v>
      </c>
      <c r="D878" s="67">
        <v>480</v>
      </c>
      <c r="E878" s="8" t="str">
        <f t="shared" ref="E878:E891" si="29">IF($B$874-C878&lt;=0,"Current",IF($B$874-C878&lt;=30,"1-30 Days",IF($B$874-C878&lt;=60,"31-60 Days",IF($B$874-C878&lt;=90,"61-90 Days","90+ Days"))))</f>
        <v>Current</v>
      </c>
    </row>
    <row r="879" spans="1:9" x14ac:dyDescent="0.3">
      <c r="A879" s="67" t="s">
        <v>702</v>
      </c>
      <c r="B879" s="67" t="s">
        <v>896</v>
      </c>
      <c r="C879" s="21">
        <v>45731</v>
      </c>
      <c r="D879" s="67">
        <v>2750</v>
      </c>
      <c r="E879" s="8" t="str">
        <f t="shared" si="29"/>
        <v>Current</v>
      </c>
    </row>
    <row r="880" spans="1:9" x14ac:dyDescent="0.3">
      <c r="A880" s="67" t="s">
        <v>704</v>
      </c>
      <c r="B880" s="67" t="s">
        <v>897</v>
      </c>
      <c r="C880" s="21">
        <v>45726</v>
      </c>
      <c r="D880" s="67">
        <v>910</v>
      </c>
      <c r="E880" s="8" t="str">
        <f t="shared" si="29"/>
        <v>1-30 Days</v>
      </c>
    </row>
    <row r="881" spans="1:6" x14ac:dyDescent="0.3">
      <c r="A881" s="67" t="s">
        <v>706</v>
      </c>
      <c r="B881" s="67" t="s">
        <v>898</v>
      </c>
      <c r="C881" s="21">
        <v>45716</v>
      </c>
      <c r="D881" s="67">
        <v>1640</v>
      </c>
      <c r="E881" s="8" t="str">
        <f t="shared" si="29"/>
        <v>1-30 Days</v>
      </c>
    </row>
    <row r="882" spans="1:6" x14ac:dyDescent="0.3">
      <c r="A882" s="67" t="s">
        <v>708</v>
      </c>
      <c r="B882" s="67" t="s">
        <v>899</v>
      </c>
      <c r="C882" s="21">
        <v>45703</v>
      </c>
      <c r="D882" s="67">
        <v>3200</v>
      </c>
      <c r="E882" s="8" t="str">
        <f t="shared" si="29"/>
        <v>1-30 Days</v>
      </c>
    </row>
    <row r="883" spans="1:6" x14ac:dyDescent="0.3">
      <c r="A883" s="67" t="s">
        <v>900</v>
      </c>
      <c r="B883" s="67" t="s">
        <v>901</v>
      </c>
      <c r="C883" s="21">
        <v>45698</v>
      </c>
      <c r="D883" s="67">
        <v>8450</v>
      </c>
      <c r="E883" s="8" t="str">
        <f t="shared" si="29"/>
        <v>31-60 Days</v>
      </c>
    </row>
    <row r="884" spans="1:6" x14ac:dyDescent="0.3">
      <c r="A884" s="67" t="s">
        <v>902</v>
      </c>
      <c r="B884" s="67" t="s">
        <v>903</v>
      </c>
      <c r="C884" s="21">
        <v>45688</v>
      </c>
      <c r="D884" s="67">
        <v>2150</v>
      </c>
      <c r="E884" s="8" t="str">
        <f t="shared" si="29"/>
        <v>31-60 Days</v>
      </c>
    </row>
    <row r="885" spans="1:6" x14ac:dyDescent="0.3">
      <c r="A885" s="67" t="s">
        <v>904</v>
      </c>
      <c r="B885" s="67" t="s">
        <v>905</v>
      </c>
      <c r="C885" s="21">
        <v>45677</v>
      </c>
      <c r="D885" s="67">
        <v>3890</v>
      </c>
      <c r="E885" s="8" t="str">
        <f t="shared" si="29"/>
        <v>31-60 Days</v>
      </c>
    </row>
    <row r="886" spans="1:6" x14ac:dyDescent="0.3">
      <c r="A886" s="67" t="s">
        <v>906</v>
      </c>
      <c r="B886" s="67" t="s">
        <v>907</v>
      </c>
      <c r="C886" s="21">
        <v>45667</v>
      </c>
      <c r="D886" s="67">
        <v>760</v>
      </c>
      <c r="E886" s="8" t="str">
        <f t="shared" si="29"/>
        <v>61-90 Days</v>
      </c>
    </row>
    <row r="887" spans="1:6" x14ac:dyDescent="0.3">
      <c r="A887" s="67" t="s">
        <v>908</v>
      </c>
      <c r="B887" s="67" t="s">
        <v>909</v>
      </c>
      <c r="C887" s="21">
        <v>45656</v>
      </c>
      <c r="D887" s="67">
        <v>6100</v>
      </c>
      <c r="E887" s="8" t="str">
        <f t="shared" si="29"/>
        <v>61-90 Days</v>
      </c>
    </row>
    <row r="888" spans="1:6" x14ac:dyDescent="0.3">
      <c r="A888" s="67" t="s">
        <v>910</v>
      </c>
      <c r="B888" s="67" t="s">
        <v>911</v>
      </c>
      <c r="C888" s="21">
        <v>45642</v>
      </c>
      <c r="D888" s="67">
        <v>4550</v>
      </c>
      <c r="E888" s="8" t="str">
        <f t="shared" si="29"/>
        <v>61-90 Days</v>
      </c>
    </row>
    <row r="889" spans="1:6" x14ac:dyDescent="0.3">
      <c r="A889" s="67" t="s">
        <v>912</v>
      </c>
      <c r="B889" s="67" t="s">
        <v>913</v>
      </c>
      <c r="C889" s="21">
        <v>45636</v>
      </c>
      <c r="D889" s="67">
        <v>830</v>
      </c>
      <c r="E889" s="8" t="str">
        <f t="shared" si="29"/>
        <v>90+ Days</v>
      </c>
    </row>
    <row r="890" spans="1:6" x14ac:dyDescent="0.3">
      <c r="A890" s="67" t="s">
        <v>914</v>
      </c>
      <c r="B890" s="67" t="s">
        <v>915</v>
      </c>
      <c r="C890" s="21">
        <v>45616</v>
      </c>
      <c r="D890" s="67">
        <v>5250</v>
      </c>
      <c r="E890" s="8" t="str">
        <f t="shared" si="29"/>
        <v>90+ Days</v>
      </c>
    </row>
    <row r="891" spans="1:6" x14ac:dyDescent="0.3">
      <c r="A891" s="67" t="s">
        <v>916</v>
      </c>
      <c r="B891" s="67" t="s">
        <v>917</v>
      </c>
      <c r="C891" s="21">
        <v>45590</v>
      </c>
      <c r="D891" s="67">
        <v>7150</v>
      </c>
      <c r="E891" s="8" t="str">
        <f t="shared" si="29"/>
        <v>90+ Days</v>
      </c>
    </row>
    <row r="892" spans="1:6" x14ac:dyDescent="0.3">
      <c r="A892" s="67"/>
      <c r="B892" s="67"/>
      <c r="C892" s="67"/>
      <c r="D892" s="67"/>
      <c r="E892" s="67"/>
    </row>
    <row r="893" spans="1:6" x14ac:dyDescent="0.3">
      <c r="A893" s="13" t="s">
        <v>918</v>
      </c>
      <c r="B893" s="13" t="s">
        <v>26</v>
      </c>
      <c r="C893" s="67"/>
      <c r="D893" s="67"/>
      <c r="E893" s="67"/>
    </row>
    <row r="894" spans="1:6" ht="14.4" customHeight="1" x14ac:dyDescent="0.3">
      <c r="A894" s="61" t="s">
        <v>894</v>
      </c>
      <c r="B894" s="36">
        <f>SUMIFS($D$877:$D$891,$E$877:$E$891,$A894)</f>
        <v>4480</v>
      </c>
      <c r="C894" s="67" t="str">
        <f ca="1">_xlfn.FORMULATEXT(B894)</f>
        <v>=SUMIFS($D$877:$D$891,$E$877:$E$891,$A894)</v>
      </c>
      <c r="D894" s="67"/>
      <c r="E894" s="71" t="str">
        <f ca="1">_xlfn.FORMULATEXT(E877)</f>
        <v>=IF($B$874-C877&lt;=0,"Current",IF($B$874-C877&lt;=30,"1-30 Days",IF($B$874-C877&lt;=60,"31-60 Days",IF($B$874-C877&lt;=90,"61-90 Days","90+ Days"))))</v>
      </c>
      <c r="F894" s="71"/>
    </row>
    <row r="895" spans="1:6" x14ac:dyDescent="0.3">
      <c r="A895" s="61" t="s">
        <v>919</v>
      </c>
      <c r="B895" s="36">
        <f t="shared" ref="B895:B898" si="30">SUMIFS($D$877:$D$891,$E$877:$E$891,$A895)</f>
        <v>5750</v>
      </c>
      <c r="C895" s="67"/>
      <c r="D895" s="67"/>
      <c r="E895" s="71"/>
      <c r="F895" s="71"/>
    </row>
    <row r="896" spans="1:6" x14ac:dyDescent="0.3">
      <c r="A896" s="61" t="s">
        <v>920</v>
      </c>
      <c r="B896" s="36">
        <f t="shared" si="30"/>
        <v>14490</v>
      </c>
      <c r="D896" s="67"/>
      <c r="E896" s="71"/>
      <c r="F896" s="71"/>
    </row>
    <row r="897" spans="1:6" x14ac:dyDescent="0.3">
      <c r="A897" s="61" t="s">
        <v>921</v>
      </c>
      <c r="B897" s="36">
        <f t="shared" si="30"/>
        <v>11410</v>
      </c>
      <c r="C897" s="67"/>
      <c r="D897" s="67"/>
      <c r="E897" s="71"/>
      <c r="F897" s="71"/>
    </row>
    <row r="898" spans="1:6" x14ac:dyDescent="0.3">
      <c r="A898" s="61" t="s">
        <v>922</v>
      </c>
      <c r="B898" s="36">
        <f t="shared" si="30"/>
        <v>13230</v>
      </c>
      <c r="C898" s="67"/>
      <c r="D898" s="67"/>
      <c r="E898" s="67"/>
    </row>
    <row r="899" spans="1:6" x14ac:dyDescent="0.3">
      <c r="A899" s="67"/>
    </row>
    <row r="900" spans="1:6" x14ac:dyDescent="0.3">
      <c r="A900" s="22" t="s">
        <v>923</v>
      </c>
    </row>
    <row r="901" spans="1:6" ht="31.2" x14ac:dyDescent="0.3">
      <c r="A901" s="67" t="s">
        <v>924</v>
      </c>
    </row>
    <row r="902" spans="1:6" x14ac:dyDescent="0.3">
      <c r="A902" s="20"/>
    </row>
    <row r="903" spans="1:6" ht="31.2" x14ac:dyDescent="0.3">
      <c r="A903" s="67" t="s">
        <v>925</v>
      </c>
    </row>
    <row r="904" spans="1:6" x14ac:dyDescent="0.3">
      <c r="A904" s="20"/>
    </row>
    <row r="905" spans="1:6" x14ac:dyDescent="0.3">
      <c r="A905" s="67" t="s">
        <v>926</v>
      </c>
    </row>
    <row r="906" spans="1:6" x14ac:dyDescent="0.3">
      <c r="A906" s="20"/>
    </row>
    <row r="907" spans="1:6" x14ac:dyDescent="0.3">
      <c r="A907" s="67" t="s">
        <v>927</v>
      </c>
    </row>
    <row r="908" spans="1:6" x14ac:dyDescent="0.3">
      <c r="A908" s="30"/>
    </row>
    <row r="909" spans="1:6" x14ac:dyDescent="0.3">
      <c r="A909" s="30" t="s">
        <v>949</v>
      </c>
    </row>
    <row r="910" spans="1:6" x14ac:dyDescent="0.3">
      <c r="A910" s="30" t="s">
        <v>950</v>
      </c>
    </row>
    <row r="911" spans="1:6" x14ac:dyDescent="0.3">
      <c r="A911" s="30" t="s">
        <v>951</v>
      </c>
    </row>
    <row r="912" spans="1:6" x14ac:dyDescent="0.3">
      <c r="A912" s="67" t="s">
        <v>677</v>
      </c>
    </row>
    <row r="913" spans="1:3" x14ac:dyDescent="0.3">
      <c r="A913" s="30"/>
    </row>
    <row r="914" spans="1:3" x14ac:dyDescent="0.3">
      <c r="A914" s="30" t="s">
        <v>952</v>
      </c>
    </row>
    <row r="915" spans="1:3" ht="31.2" x14ac:dyDescent="0.3">
      <c r="A915" s="30" t="s">
        <v>953</v>
      </c>
    </row>
    <row r="916" spans="1:3" x14ac:dyDescent="0.3">
      <c r="A916" s="30" t="s">
        <v>954</v>
      </c>
    </row>
    <row r="917" spans="1:3" x14ac:dyDescent="0.3">
      <c r="A917" s="30" t="s">
        <v>955</v>
      </c>
    </row>
    <row r="918" spans="1:3" x14ac:dyDescent="0.3">
      <c r="A918" s="20"/>
    </row>
    <row r="919" spans="1:3" x14ac:dyDescent="0.3">
      <c r="A919" s="67" t="s">
        <v>928</v>
      </c>
    </row>
    <row r="921" spans="1:3" x14ac:dyDescent="0.3">
      <c r="A921" s="13" t="s">
        <v>711</v>
      </c>
      <c r="B921" s="13" t="s">
        <v>929</v>
      </c>
      <c r="C921" s="13" t="s">
        <v>220</v>
      </c>
    </row>
    <row r="922" spans="1:3" x14ac:dyDescent="0.3">
      <c r="A922" s="67" t="s">
        <v>222</v>
      </c>
      <c r="B922" s="67" t="s">
        <v>930</v>
      </c>
      <c r="C922" s="67">
        <v>75</v>
      </c>
    </row>
    <row r="923" spans="1:3" x14ac:dyDescent="0.3">
      <c r="A923" s="67" t="s">
        <v>298</v>
      </c>
      <c r="B923" s="67" t="s">
        <v>931</v>
      </c>
      <c r="C923" s="67">
        <v>78</v>
      </c>
    </row>
    <row r="924" spans="1:3" x14ac:dyDescent="0.3">
      <c r="A924" s="67" t="s">
        <v>932</v>
      </c>
      <c r="B924" s="67" t="s">
        <v>933</v>
      </c>
      <c r="C924" s="67">
        <v>72</v>
      </c>
    </row>
    <row r="925" spans="1:3" x14ac:dyDescent="0.3">
      <c r="A925" s="67" t="s">
        <v>161</v>
      </c>
      <c r="B925" s="67" t="s">
        <v>930</v>
      </c>
      <c r="C925" s="67">
        <v>84</v>
      </c>
    </row>
    <row r="926" spans="1:3" x14ac:dyDescent="0.3">
      <c r="A926" s="67" t="s">
        <v>934</v>
      </c>
      <c r="B926" s="67" t="s">
        <v>931</v>
      </c>
      <c r="C926" s="67">
        <v>63</v>
      </c>
    </row>
    <row r="927" spans="1:3" x14ac:dyDescent="0.3">
      <c r="A927" s="67" t="s">
        <v>935</v>
      </c>
      <c r="B927" s="67" t="s">
        <v>933</v>
      </c>
      <c r="C927" s="67">
        <v>57</v>
      </c>
    </row>
    <row r="928" spans="1:3" x14ac:dyDescent="0.3">
      <c r="A928" s="67" t="s">
        <v>936</v>
      </c>
      <c r="B928" s="67" t="s">
        <v>930</v>
      </c>
      <c r="C928" s="67">
        <v>93</v>
      </c>
    </row>
    <row r="929" spans="1:3" x14ac:dyDescent="0.3">
      <c r="A929" s="67" t="s">
        <v>937</v>
      </c>
      <c r="B929" s="67" t="s">
        <v>931</v>
      </c>
      <c r="C929" s="67">
        <v>90</v>
      </c>
    </row>
    <row r="930" spans="1:3" x14ac:dyDescent="0.3">
      <c r="A930" s="67" t="s">
        <v>938</v>
      </c>
      <c r="B930" s="67" t="s">
        <v>933</v>
      </c>
      <c r="C930" s="67">
        <v>90</v>
      </c>
    </row>
    <row r="931" spans="1:3" x14ac:dyDescent="0.3">
      <c r="A931" s="67"/>
      <c r="B931" s="67"/>
      <c r="C931" s="67"/>
    </row>
    <row r="932" spans="1:3" x14ac:dyDescent="0.3">
      <c r="A932" s="13" t="s">
        <v>929</v>
      </c>
      <c r="B932" s="13" t="s">
        <v>939</v>
      </c>
      <c r="C932" s="67"/>
    </row>
    <row r="933" spans="1:3" x14ac:dyDescent="0.3">
      <c r="A933" s="67" t="s">
        <v>930</v>
      </c>
      <c r="B933" s="8">
        <f>AVERAGEIF($B$922:$B$930,A933,$C$922:$C$930)</f>
        <v>84</v>
      </c>
      <c r="C933" s="67"/>
    </row>
    <row r="934" spans="1:3" x14ac:dyDescent="0.3">
      <c r="A934" s="67" t="s">
        <v>931</v>
      </c>
      <c r="B934" s="8">
        <f t="shared" ref="B934:B935" si="31">AVERAGEIF($B$922:$B$930,A934,$C$922:$C$930)</f>
        <v>77</v>
      </c>
      <c r="C934" s="67"/>
    </row>
    <row r="935" spans="1:3" x14ac:dyDescent="0.3">
      <c r="A935" s="67" t="s">
        <v>933</v>
      </c>
      <c r="B935" s="8">
        <f t="shared" si="31"/>
        <v>73</v>
      </c>
      <c r="C935" s="67"/>
    </row>
    <row r="937" spans="1:3" x14ac:dyDescent="0.3">
      <c r="B937" s="75" t="str">
        <f ca="1" xml:space="preserve"> _xlfn.FORMULATEXT(B933)</f>
        <v>=AVERAGEIF($B$922:$B$930,A933,$C$922:$C$930)</v>
      </c>
      <c r="C937" s="75"/>
    </row>
    <row r="939" spans="1:3" x14ac:dyDescent="0.3">
      <c r="A939" s="22" t="s">
        <v>956</v>
      </c>
    </row>
    <row r="940" spans="1:3" x14ac:dyDescent="0.3">
      <c r="A940" s="64" t="s">
        <v>957</v>
      </c>
    </row>
    <row r="941" spans="1:3" ht="31.2" x14ac:dyDescent="0.3">
      <c r="A941" s="62" t="s">
        <v>958</v>
      </c>
    </row>
    <row r="942" spans="1:3" x14ac:dyDescent="0.3">
      <c r="A942" s="67"/>
    </row>
    <row r="943" spans="1:3" ht="31.2" x14ac:dyDescent="0.3">
      <c r="A943" s="62" t="s">
        <v>964</v>
      </c>
    </row>
    <row r="944" spans="1:3" x14ac:dyDescent="0.3">
      <c r="A944" s="67"/>
    </row>
    <row r="945" spans="1:1" x14ac:dyDescent="0.3">
      <c r="A945" s="62" t="s">
        <v>959</v>
      </c>
    </row>
    <row r="946" spans="1:1" x14ac:dyDescent="0.3">
      <c r="A946" s="67"/>
    </row>
    <row r="947" spans="1:1" x14ac:dyDescent="0.3">
      <c r="A947" s="62" t="s">
        <v>963</v>
      </c>
    </row>
    <row r="948" spans="1:1" x14ac:dyDescent="0.3">
      <c r="A948" s="30"/>
    </row>
    <row r="949" spans="1:1" x14ac:dyDescent="0.3">
      <c r="A949" s="63" t="s">
        <v>965</v>
      </c>
    </row>
    <row r="950" spans="1:1" x14ac:dyDescent="0.3">
      <c r="A950" s="63" t="s">
        <v>966</v>
      </c>
    </row>
    <row r="951" spans="1:1" x14ac:dyDescent="0.3">
      <c r="A951" s="63" t="s">
        <v>967</v>
      </c>
    </row>
    <row r="952" spans="1:1" x14ac:dyDescent="0.3">
      <c r="A952" s="67"/>
    </row>
    <row r="953" spans="1:1" x14ac:dyDescent="0.3">
      <c r="A953" s="62" t="s">
        <v>960</v>
      </c>
    </row>
    <row r="954" spans="1:1" x14ac:dyDescent="0.3">
      <c r="A954" s="67"/>
    </row>
    <row r="955" spans="1:1" x14ac:dyDescent="0.3">
      <c r="A955" s="62" t="s">
        <v>968</v>
      </c>
    </row>
    <row r="956" spans="1:1" x14ac:dyDescent="0.3">
      <c r="A956" s="67"/>
    </row>
    <row r="957" spans="1:1" x14ac:dyDescent="0.3">
      <c r="A957" s="62" t="s">
        <v>961</v>
      </c>
    </row>
    <row r="958" spans="1:1" x14ac:dyDescent="0.3">
      <c r="A958" s="67"/>
    </row>
    <row r="959" spans="1:1" x14ac:dyDescent="0.3">
      <c r="A959" s="62" t="s">
        <v>962</v>
      </c>
    </row>
    <row r="960" spans="1:1" x14ac:dyDescent="0.3">
      <c r="A960" s="67"/>
    </row>
    <row r="961" spans="1:3" x14ac:dyDescent="0.3">
      <c r="A961" s="62" t="s">
        <v>677</v>
      </c>
    </row>
    <row r="962" spans="1:3" x14ac:dyDescent="0.3">
      <c r="A962" s="30"/>
    </row>
    <row r="963" spans="1:3" x14ac:dyDescent="0.3">
      <c r="A963" s="63" t="s">
        <v>969</v>
      </c>
    </row>
    <row r="964" spans="1:3" x14ac:dyDescent="0.3">
      <c r="A964" s="63" t="s">
        <v>970</v>
      </c>
    </row>
    <row r="965" spans="1:3" x14ac:dyDescent="0.3">
      <c r="A965" s="63" t="s">
        <v>954</v>
      </c>
    </row>
    <row r="967" spans="1:3" x14ac:dyDescent="0.3">
      <c r="A967" s="67" t="s">
        <v>971</v>
      </c>
      <c r="B967" s="67">
        <v>500</v>
      </c>
      <c r="C967" s="67"/>
    </row>
    <row r="968" spans="1:3" x14ac:dyDescent="0.3">
      <c r="A968" s="67"/>
      <c r="B968" s="67"/>
      <c r="C968" s="67"/>
    </row>
    <row r="969" spans="1:3" x14ac:dyDescent="0.3">
      <c r="A969" s="13" t="s">
        <v>382</v>
      </c>
      <c r="B969" s="13" t="s">
        <v>867</v>
      </c>
      <c r="C969" s="13" t="s">
        <v>869</v>
      </c>
    </row>
    <row r="970" spans="1:3" x14ac:dyDescent="0.3">
      <c r="A970" s="67" t="s">
        <v>972</v>
      </c>
      <c r="B970" s="67" t="s">
        <v>874</v>
      </c>
      <c r="C970" s="67">
        <v>1200</v>
      </c>
    </row>
    <row r="971" spans="1:3" x14ac:dyDescent="0.3">
      <c r="A971" s="67" t="s">
        <v>973</v>
      </c>
      <c r="B971" s="67" t="s">
        <v>974</v>
      </c>
      <c r="C971" s="67">
        <v>340</v>
      </c>
    </row>
    <row r="972" spans="1:3" x14ac:dyDescent="0.3">
      <c r="A972" s="67" t="s">
        <v>975</v>
      </c>
      <c r="B972" s="67" t="s">
        <v>976</v>
      </c>
      <c r="C972" s="67">
        <v>875</v>
      </c>
    </row>
    <row r="973" spans="1:3" x14ac:dyDescent="0.3">
      <c r="A973" s="67" t="s">
        <v>977</v>
      </c>
      <c r="B973" s="67" t="s">
        <v>978</v>
      </c>
      <c r="C973" s="67">
        <v>150</v>
      </c>
    </row>
    <row r="974" spans="1:3" x14ac:dyDescent="0.3">
      <c r="A974" s="67" t="s">
        <v>979</v>
      </c>
      <c r="B974" s="67" t="s">
        <v>980</v>
      </c>
      <c r="C974" s="67">
        <v>3200</v>
      </c>
    </row>
    <row r="975" spans="1:3" x14ac:dyDescent="0.3">
      <c r="A975" s="67" t="s">
        <v>981</v>
      </c>
      <c r="B975" s="67" t="s">
        <v>982</v>
      </c>
      <c r="C975" s="67">
        <v>490</v>
      </c>
    </row>
    <row r="976" spans="1:3" x14ac:dyDescent="0.3">
      <c r="A976" s="67" t="s">
        <v>983</v>
      </c>
      <c r="B976" s="67" t="s">
        <v>984</v>
      </c>
      <c r="C976" s="67">
        <v>1540</v>
      </c>
    </row>
    <row r="977" spans="1:4" x14ac:dyDescent="0.3">
      <c r="A977" s="67" t="s">
        <v>985</v>
      </c>
      <c r="B977" s="67" t="s">
        <v>986</v>
      </c>
      <c r="C977" s="67">
        <v>720</v>
      </c>
    </row>
    <row r="978" spans="1:4" x14ac:dyDescent="0.3">
      <c r="A978" s="67"/>
      <c r="B978" s="67"/>
      <c r="C978" s="67"/>
    </row>
    <row r="979" spans="1:4" x14ac:dyDescent="0.3">
      <c r="A979" s="67" t="s">
        <v>987</v>
      </c>
      <c r="B979" s="8">
        <f>SUMIF(C970:C977,"&gt;"&amp;B967)</f>
        <v>7535</v>
      </c>
      <c r="C979" s="67"/>
    </row>
    <row r="980" spans="1:4" x14ac:dyDescent="0.3">
      <c r="B980" s="3" t="str">
        <f ca="1">_xlfn.FORMULATEXT(B979)</f>
        <v>=SUMIF(C970:C977,"&gt;"&amp;B967)</v>
      </c>
    </row>
    <row r="982" spans="1:4" x14ac:dyDescent="0.3">
      <c r="A982" s="22" t="s">
        <v>988</v>
      </c>
    </row>
    <row r="983" spans="1:4" x14ac:dyDescent="0.3">
      <c r="A983" s="64" t="s">
        <v>957</v>
      </c>
    </row>
    <row r="984" spans="1:4" ht="31.2" x14ac:dyDescent="0.3">
      <c r="A984" s="62" t="s">
        <v>989</v>
      </c>
    </row>
    <row r="985" spans="1:4" ht="31.2" x14ac:dyDescent="0.3">
      <c r="A985" s="62" t="s">
        <v>990</v>
      </c>
    </row>
    <row r="986" spans="1:4" x14ac:dyDescent="0.3">
      <c r="A986" s="62" t="s">
        <v>959</v>
      </c>
    </row>
    <row r="987" spans="1:4" x14ac:dyDescent="0.3">
      <c r="A987" s="62" t="s">
        <v>998</v>
      </c>
    </row>
    <row r="988" spans="1:4" x14ac:dyDescent="0.3">
      <c r="A988" s="63" t="s">
        <v>992</v>
      </c>
    </row>
    <row r="989" spans="1:4" x14ac:dyDescent="0.3">
      <c r="A989" s="63" t="s">
        <v>993</v>
      </c>
    </row>
    <row r="990" spans="1:4" x14ac:dyDescent="0.3">
      <c r="A990" s="63" t="s">
        <v>994</v>
      </c>
    </row>
    <row r="991" spans="1:4" x14ac:dyDescent="0.3">
      <c r="A991" s="63" t="s">
        <v>677</v>
      </c>
      <c r="B991" s="63"/>
      <c r="C991" s="63"/>
      <c r="D991" s="63"/>
    </row>
    <row r="992" spans="1:4" x14ac:dyDescent="0.3">
      <c r="A992" s="63" t="s">
        <v>995</v>
      </c>
      <c r="B992" s="63"/>
      <c r="C992" s="63"/>
      <c r="D992" s="63"/>
    </row>
    <row r="993" spans="1:4" ht="31.2" x14ac:dyDescent="0.3">
      <c r="A993" s="63" t="s">
        <v>996</v>
      </c>
      <c r="B993" s="63"/>
      <c r="C993" s="63"/>
      <c r="D993" s="63"/>
    </row>
    <row r="994" spans="1:4" x14ac:dyDescent="0.3">
      <c r="A994" s="63" t="s">
        <v>954</v>
      </c>
      <c r="B994" s="63"/>
      <c r="C994" s="63"/>
      <c r="D994" s="63"/>
    </row>
    <row r="995" spans="1:4" x14ac:dyDescent="0.3">
      <c r="A995" s="63" t="s">
        <v>997</v>
      </c>
      <c r="B995" s="63"/>
      <c r="C995" s="63"/>
      <c r="D995" s="63"/>
    </row>
    <row r="996" spans="1:4" x14ac:dyDescent="0.3">
      <c r="A996" s="63" t="s">
        <v>991</v>
      </c>
      <c r="B996" s="63"/>
      <c r="C996" s="63"/>
      <c r="D996" s="63"/>
    </row>
    <row r="997" spans="1:4" x14ac:dyDescent="0.3">
      <c r="A997" s="63"/>
      <c r="B997" s="63"/>
      <c r="C997" s="63"/>
      <c r="D997" s="63"/>
    </row>
    <row r="998" spans="1:4" x14ac:dyDescent="0.3">
      <c r="A998" s="13" t="s">
        <v>999</v>
      </c>
      <c r="B998" s="13" t="s">
        <v>46</v>
      </c>
      <c r="C998" s="13" t="s">
        <v>1000</v>
      </c>
      <c r="D998" s="63"/>
    </row>
    <row r="999" spans="1:4" x14ac:dyDescent="0.3">
      <c r="A999" s="63" t="s">
        <v>1001</v>
      </c>
      <c r="B999" s="63" t="s">
        <v>1002</v>
      </c>
      <c r="C999" s="63">
        <v>1800</v>
      </c>
      <c r="D999" s="63"/>
    </row>
    <row r="1000" spans="1:4" x14ac:dyDescent="0.3">
      <c r="A1000" s="63" t="s">
        <v>1003</v>
      </c>
      <c r="B1000" s="63" t="s">
        <v>1004</v>
      </c>
      <c r="C1000" s="63">
        <v>2200</v>
      </c>
      <c r="D1000" s="63"/>
    </row>
    <row r="1001" spans="1:4" x14ac:dyDescent="0.3">
      <c r="A1001" s="63" t="s">
        <v>1005</v>
      </c>
      <c r="B1001" s="63" t="s">
        <v>1006</v>
      </c>
      <c r="C1001" s="63">
        <v>950</v>
      </c>
      <c r="D1001" s="63"/>
    </row>
    <row r="1002" spans="1:4" x14ac:dyDescent="0.3">
      <c r="A1002" s="63" t="s">
        <v>1007</v>
      </c>
      <c r="B1002" s="63" t="s">
        <v>1002</v>
      </c>
      <c r="C1002" s="63">
        <v>1450</v>
      </c>
      <c r="D1002" s="63"/>
    </row>
    <row r="1003" spans="1:4" x14ac:dyDescent="0.3">
      <c r="A1003" s="63" t="s">
        <v>1001</v>
      </c>
      <c r="B1003" s="63" t="s">
        <v>1004</v>
      </c>
      <c r="C1003" s="63">
        <v>2500</v>
      </c>
      <c r="D1003" s="63"/>
    </row>
    <row r="1004" spans="1:4" x14ac:dyDescent="0.3">
      <c r="A1004" s="63" t="s">
        <v>1003</v>
      </c>
      <c r="B1004" s="63" t="s">
        <v>1006</v>
      </c>
      <c r="C1004" s="63">
        <v>800</v>
      </c>
      <c r="D1004" s="63"/>
    </row>
    <row r="1005" spans="1:4" x14ac:dyDescent="0.3">
      <c r="A1005" s="63" t="s">
        <v>1005</v>
      </c>
      <c r="B1005" s="63" t="s">
        <v>1004</v>
      </c>
      <c r="C1005" s="63">
        <v>1650</v>
      </c>
      <c r="D1005" s="63"/>
    </row>
    <row r="1006" spans="1:4" x14ac:dyDescent="0.3">
      <c r="A1006" s="63" t="s">
        <v>1007</v>
      </c>
      <c r="B1006" s="63" t="s">
        <v>1006</v>
      </c>
      <c r="C1006" s="63">
        <v>1100</v>
      </c>
      <c r="D1006" s="63"/>
    </row>
    <row r="1007" spans="1:4" x14ac:dyDescent="0.3">
      <c r="A1007" s="63"/>
      <c r="B1007" s="63"/>
      <c r="C1007" s="63"/>
      <c r="D1007" s="63"/>
    </row>
    <row r="1008" spans="1:4" x14ac:dyDescent="0.3">
      <c r="A1008" s="13" t="s">
        <v>999</v>
      </c>
      <c r="B1008" s="13" t="s">
        <v>1008</v>
      </c>
      <c r="C1008" s="63"/>
      <c r="D1008" s="63"/>
    </row>
    <row r="1009" spans="1:4" x14ac:dyDescent="0.3">
      <c r="A1009" s="63" t="s">
        <v>1001</v>
      </c>
      <c r="B1009" s="63">
        <f>SUMIF($A$999:$A$1006,A1009,$C$999:$C$1006)</f>
        <v>4300</v>
      </c>
      <c r="C1009" s="63"/>
      <c r="D1009" s="63"/>
    </row>
    <row r="1010" spans="1:4" x14ac:dyDescent="0.3">
      <c r="A1010" s="63" t="s">
        <v>1003</v>
      </c>
      <c r="B1010" s="63">
        <f t="shared" ref="B1010:B1012" si="32">SUMIF($A$999:$A$1006,A1010,$C$999:$C$1006)</f>
        <v>3000</v>
      </c>
      <c r="C1010" s="63"/>
      <c r="D1010" s="63"/>
    </row>
    <row r="1011" spans="1:4" x14ac:dyDescent="0.3">
      <c r="A1011" s="63" t="s">
        <v>1005</v>
      </c>
      <c r="B1011" s="63">
        <f t="shared" si="32"/>
        <v>2600</v>
      </c>
      <c r="C1011" s="63"/>
      <c r="D1011" s="63"/>
    </row>
    <row r="1012" spans="1:4" x14ac:dyDescent="0.3">
      <c r="A1012" s="63" t="s">
        <v>1007</v>
      </c>
      <c r="B1012" s="63">
        <f t="shared" si="32"/>
        <v>2550</v>
      </c>
      <c r="C1012" s="63"/>
      <c r="D1012" s="63"/>
    </row>
    <row r="1013" spans="1:4" x14ac:dyDescent="0.3">
      <c r="A1013" s="63"/>
      <c r="B1013" s="77" t="str">
        <f ca="1">_xlfn.FORMULATEXT(B1009)</f>
        <v>=SUMIF($A$999:$A$1006,A1009,$C$999:$C$1006)</v>
      </c>
      <c r="C1013" s="77"/>
      <c r="D1013" s="63"/>
    </row>
    <row r="1014" spans="1:4" x14ac:dyDescent="0.3">
      <c r="A1014" s="63"/>
      <c r="B1014" s="63"/>
      <c r="C1014" s="63"/>
      <c r="D1014" s="63"/>
    </row>
    <row r="1015" spans="1:4" x14ac:dyDescent="0.3">
      <c r="A1015" s="22" t="s">
        <v>1009</v>
      </c>
      <c r="B1015" s="63"/>
      <c r="C1015" s="63"/>
      <c r="D1015" s="63"/>
    </row>
    <row r="1016" spans="1:4" ht="124.8" x14ac:dyDescent="0.3">
      <c r="A1016" s="63" t="s">
        <v>1010</v>
      </c>
      <c r="B1016" s="63"/>
      <c r="C1016" s="63"/>
      <c r="D1016" s="63"/>
    </row>
    <row r="1017" spans="1:4" x14ac:dyDescent="0.3">
      <c r="A1017" s="67" t="s">
        <v>1011</v>
      </c>
      <c r="B1017" s="63"/>
      <c r="C1017" s="63"/>
      <c r="D1017" s="63"/>
    </row>
    <row r="1018" spans="1:4" x14ac:dyDescent="0.3">
      <c r="A1018" s="30" t="s">
        <v>1013</v>
      </c>
      <c r="B1018" s="63"/>
      <c r="C1018" s="63"/>
      <c r="D1018" s="63"/>
    </row>
    <row r="1019" spans="1:4" x14ac:dyDescent="0.3">
      <c r="A1019" s="30" t="s">
        <v>1012</v>
      </c>
      <c r="B1019" s="63"/>
      <c r="C1019" s="63"/>
      <c r="D1019" s="63"/>
    </row>
    <row r="1020" spans="1:4" x14ac:dyDescent="0.3">
      <c r="A1020" s="31" t="s">
        <v>1014</v>
      </c>
      <c r="B1020" s="63"/>
      <c r="C1020" s="63"/>
      <c r="D1020" s="63"/>
    </row>
    <row r="1021" spans="1:4" x14ac:dyDescent="0.3">
      <c r="A1021" s="31" t="s">
        <v>1015</v>
      </c>
      <c r="B1021" s="63"/>
      <c r="C1021" s="63"/>
      <c r="D1021" s="63"/>
    </row>
    <row r="1022" spans="1:4" x14ac:dyDescent="0.3">
      <c r="A1022" s="30" t="s">
        <v>1016</v>
      </c>
      <c r="B1022" s="63"/>
      <c r="C1022" s="63"/>
      <c r="D1022" s="63"/>
    </row>
    <row r="1023" spans="1:4" x14ac:dyDescent="0.3">
      <c r="A1023" s="31" t="s">
        <v>1017</v>
      </c>
      <c r="B1023" s="63"/>
      <c r="C1023" s="63"/>
      <c r="D1023" s="63"/>
    </row>
    <row r="1024" spans="1:4" x14ac:dyDescent="0.3">
      <c r="A1024" s="31" t="s">
        <v>1018</v>
      </c>
      <c r="B1024" s="63"/>
      <c r="C1024" s="63"/>
      <c r="D1024" s="63"/>
    </row>
    <row r="1025" spans="1:9" x14ac:dyDescent="0.3">
      <c r="A1025" s="20"/>
      <c r="B1025" s="63"/>
      <c r="C1025" s="63"/>
      <c r="D1025" s="63"/>
    </row>
    <row r="1026" spans="1:9" x14ac:dyDescent="0.3">
      <c r="A1026" s="67" t="s">
        <v>1019</v>
      </c>
      <c r="B1026" s="63"/>
      <c r="C1026" s="63"/>
      <c r="D1026" s="63"/>
    </row>
    <row r="1027" spans="1:9" x14ac:dyDescent="0.3">
      <c r="A1027" s="63"/>
      <c r="B1027" s="63"/>
      <c r="C1027" s="63"/>
      <c r="D1027" s="63"/>
    </row>
    <row r="1028" spans="1:9" x14ac:dyDescent="0.3">
      <c r="A1028" s="10" t="s">
        <v>1020</v>
      </c>
      <c r="B1028" s="10" t="s">
        <v>1021</v>
      </c>
      <c r="C1028" s="10" t="s">
        <v>310</v>
      </c>
      <c r="D1028" s="10" t="s">
        <v>669</v>
      </c>
      <c r="E1028" s="10" t="s">
        <v>1022</v>
      </c>
      <c r="F1028" s="10" t="s">
        <v>1023</v>
      </c>
      <c r="G1028" s="10" t="s">
        <v>30</v>
      </c>
    </row>
    <row r="1029" spans="1:9" x14ac:dyDescent="0.3">
      <c r="A1029" s="67">
        <v>2001</v>
      </c>
      <c r="B1029" s="21">
        <v>46026</v>
      </c>
      <c r="C1029" s="67" t="s">
        <v>314</v>
      </c>
      <c r="D1029" s="67" t="s">
        <v>1024</v>
      </c>
      <c r="E1029" s="67">
        <v>42</v>
      </c>
      <c r="F1029" s="67" t="s">
        <v>310</v>
      </c>
      <c r="G1029" s="67" t="s">
        <v>314</v>
      </c>
    </row>
    <row r="1030" spans="1:9" x14ac:dyDescent="0.3">
      <c r="A1030" s="67">
        <v>2002</v>
      </c>
      <c r="B1030" s="21">
        <v>46031</v>
      </c>
      <c r="C1030" s="67" t="s">
        <v>314</v>
      </c>
      <c r="D1030" s="67" t="s">
        <v>1025</v>
      </c>
      <c r="E1030" s="67">
        <v>50</v>
      </c>
      <c r="F1030" s="67" t="s">
        <v>669</v>
      </c>
      <c r="G1030" s="67" t="s">
        <v>1024</v>
      </c>
    </row>
    <row r="1031" spans="1:9" x14ac:dyDescent="0.3">
      <c r="A1031" s="67">
        <v>2003</v>
      </c>
      <c r="B1031" s="21">
        <v>46065</v>
      </c>
      <c r="C1031" s="67" t="s">
        <v>314</v>
      </c>
      <c r="D1031" s="67" t="s">
        <v>1024</v>
      </c>
      <c r="E1031" s="67">
        <v>55</v>
      </c>
      <c r="F1031" s="67" t="s">
        <v>1026</v>
      </c>
      <c r="G1031" s="28">
        <f>AVERAGEIFS(E1029:E1040,C1029:C1040,G1029,D1029:D1040,G1030)</f>
        <v>49</v>
      </c>
    </row>
    <row r="1032" spans="1:9" x14ac:dyDescent="0.3">
      <c r="A1032" s="67">
        <v>2004</v>
      </c>
      <c r="B1032" s="21">
        <v>46073</v>
      </c>
      <c r="C1032" s="67" t="s">
        <v>314</v>
      </c>
      <c r="D1032" s="67" t="s">
        <v>1027</v>
      </c>
      <c r="E1032" s="67">
        <v>70</v>
      </c>
      <c r="F1032" s="67"/>
      <c r="G1032" s="71" t="str">
        <f ca="1">_xlfn.FORMULATEXT(G1031)</f>
        <v>=AVERAGEIFS(E1029:E1040,C1029:C1040,G1029,D1029:D1040,G1030)</v>
      </c>
      <c r="H1032" s="71"/>
      <c r="I1032" s="71"/>
    </row>
    <row r="1033" spans="1:9" x14ac:dyDescent="0.3">
      <c r="A1033" s="67">
        <v>2005</v>
      </c>
      <c r="B1033" s="21">
        <v>46099</v>
      </c>
      <c r="C1033" s="67" t="s">
        <v>314</v>
      </c>
      <c r="D1033" s="67" t="s">
        <v>1024</v>
      </c>
      <c r="E1033" s="67">
        <v>38</v>
      </c>
      <c r="F1033" s="67"/>
      <c r="G1033" s="67"/>
    </row>
    <row r="1034" spans="1:9" x14ac:dyDescent="0.3">
      <c r="A1034" s="67">
        <v>2006</v>
      </c>
      <c r="B1034" s="21">
        <v>46115</v>
      </c>
      <c r="C1034" s="67" t="s">
        <v>315</v>
      </c>
      <c r="D1034" s="67" t="s">
        <v>1024</v>
      </c>
      <c r="E1034" s="67">
        <v>45</v>
      </c>
      <c r="F1034" s="67"/>
      <c r="G1034" s="67"/>
    </row>
    <row r="1035" spans="1:9" x14ac:dyDescent="0.3">
      <c r="A1035" s="67">
        <v>2007</v>
      </c>
      <c r="B1035" s="21">
        <v>46164</v>
      </c>
      <c r="C1035" s="67" t="s">
        <v>315</v>
      </c>
      <c r="D1035" s="67" t="s">
        <v>1025</v>
      </c>
      <c r="E1035" s="67">
        <v>58</v>
      </c>
      <c r="F1035" s="67"/>
      <c r="G1035" s="67"/>
    </row>
    <row r="1036" spans="1:9" x14ac:dyDescent="0.3">
      <c r="A1036" s="67">
        <v>2008</v>
      </c>
      <c r="B1036" s="21">
        <v>46204</v>
      </c>
      <c r="C1036" s="67" t="s">
        <v>316</v>
      </c>
      <c r="D1036" s="67" t="s">
        <v>1024</v>
      </c>
      <c r="E1036" s="67">
        <v>40</v>
      </c>
      <c r="F1036" s="67"/>
      <c r="G1036" s="67"/>
    </row>
    <row r="1037" spans="1:9" x14ac:dyDescent="0.3">
      <c r="A1037" s="67">
        <v>2009</v>
      </c>
      <c r="B1037" s="21">
        <v>46248</v>
      </c>
      <c r="C1037" s="67" t="s">
        <v>316</v>
      </c>
      <c r="D1037" s="67" t="s">
        <v>1027</v>
      </c>
      <c r="E1037" s="67">
        <v>85</v>
      </c>
      <c r="F1037" s="67"/>
      <c r="G1037" s="67"/>
    </row>
    <row r="1038" spans="1:9" x14ac:dyDescent="0.3">
      <c r="A1038" s="67">
        <v>2010</v>
      </c>
      <c r="B1038" s="21">
        <v>46325</v>
      </c>
      <c r="C1038" s="67" t="s">
        <v>317</v>
      </c>
      <c r="D1038" s="67" t="s">
        <v>1024</v>
      </c>
      <c r="E1038" s="67">
        <v>62</v>
      </c>
      <c r="F1038" s="67"/>
      <c r="G1038" s="67"/>
    </row>
    <row r="1039" spans="1:9" x14ac:dyDescent="0.3">
      <c r="A1039" s="67">
        <v>2011</v>
      </c>
      <c r="B1039" s="21">
        <v>46331</v>
      </c>
      <c r="C1039" s="67" t="s">
        <v>317</v>
      </c>
      <c r="D1039" s="67" t="s">
        <v>1025</v>
      </c>
      <c r="E1039" s="67">
        <v>47</v>
      </c>
      <c r="F1039" s="67"/>
      <c r="G1039" s="67"/>
    </row>
    <row r="1040" spans="1:9" x14ac:dyDescent="0.3">
      <c r="A1040" s="67">
        <v>2012</v>
      </c>
      <c r="B1040" s="21">
        <v>46109</v>
      </c>
      <c r="C1040" s="67" t="s">
        <v>314</v>
      </c>
      <c r="D1040" s="67" t="s">
        <v>1024</v>
      </c>
      <c r="E1040" s="67">
        <v>61</v>
      </c>
      <c r="F1040" s="67"/>
      <c r="G1040" s="67"/>
    </row>
    <row r="1043" spans="1:4" x14ac:dyDescent="0.3">
      <c r="A1043" s="22" t="s">
        <v>1028</v>
      </c>
    </row>
    <row r="1044" spans="1:4" ht="156" x14ac:dyDescent="0.3">
      <c r="A1044" s="5" t="s">
        <v>1029</v>
      </c>
    </row>
    <row r="1045" spans="1:4" x14ac:dyDescent="0.3">
      <c r="A1045" s="67" t="s">
        <v>1011</v>
      </c>
    </row>
    <row r="1046" spans="1:4" x14ac:dyDescent="0.3">
      <c r="A1046" s="30" t="s">
        <v>1049</v>
      </c>
    </row>
    <row r="1047" spans="1:4" x14ac:dyDescent="0.3">
      <c r="A1047" s="30" t="s">
        <v>1050</v>
      </c>
    </row>
    <row r="1048" spans="1:4" x14ac:dyDescent="0.3">
      <c r="A1048" s="30" t="s">
        <v>1051</v>
      </c>
    </row>
    <row r="1049" spans="1:4" x14ac:dyDescent="0.3">
      <c r="A1049" s="20"/>
    </row>
    <row r="1050" spans="1:4" x14ac:dyDescent="0.3">
      <c r="A1050" s="67" t="s">
        <v>1030</v>
      </c>
    </row>
    <row r="1052" spans="1:4" x14ac:dyDescent="0.3">
      <c r="A1052" s="10" t="s">
        <v>1031</v>
      </c>
      <c r="B1052" s="10" t="s">
        <v>1032</v>
      </c>
      <c r="C1052" s="10" t="s">
        <v>1033</v>
      </c>
      <c r="D1052" s="10" t="s">
        <v>1034</v>
      </c>
    </row>
    <row r="1053" spans="1:4" x14ac:dyDescent="0.3">
      <c r="A1053" s="67" t="s">
        <v>1035</v>
      </c>
      <c r="B1053" s="21">
        <v>45303</v>
      </c>
      <c r="C1053" s="67" t="s">
        <v>1002</v>
      </c>
      <c r="D1053" s="67">
        <v>18000</v>
      </c>
    </row>
    <row r="1054" spans="1:4" x14ac:dyDescent="0.3">
      <c r="A1054" s="67" t="s">
        <v>1036</v>
      </c>
      <c r="B1054" s="21">
        <v>45330</v>
      </c>
      <c r="C1054" s="67" t="s">
        <v>1004</v>
      </c>
      <c r="D1054" s="67">
        <v>42000</v>
      </c>
    </row>
    <row r="1055" spans="1:4" x14ac:dyDescent="0.3">
      <c r="A1055" s="67" t="s">
        <v>1037</v>
      </c>
      <c r="B1055" s="21">
        <v>45370</v>
      </c>
      <c r="C1055" s="67" t="s">
        <v>1006</v>
      </c>
      <c r="D1055" s="67">
        <v>9500</v>
      </c>
    </row>
    <row r="1056" spans="1:4" x14ac:dyDescent="0.3">
      <c r="A1056" s="67" t="s">
        <v>1038</v>
      </c>
      <c r="B1056" s="21">
        <v>45387</v>
      </c>
      <c r="C1056" s="67" t="s">
        <v>1002</v>
      </c>
      <c r="D1056" s="67">
        <v>27500</v>
      </c>
    </row>
    <row r="1057" spans="1:4" x14ac:dyDescent="0.3">
      <c r="A1057" s="67" t="s">
        <v>1039</v>
      </c>
      <c r="B1057" s="21">
        <v>45404</v>
      </c>
      <c r="C1057" s="67" t="s">
        <v>1004</v>
      </c>
      <c r="D1057" s="67">
        <v>31500</v>
      </c>
    </row>
    <row r="1058" spans="1:4" x14ac:dyDescent="0.3">
      <c r="A1058" s="67" t="s">
        <v>1040</v>
      </c>
      <c r="B1058" s="21">
        <v>45415</v>
      </c>
      <c r="C1058" s="67" t="s">
        <v>1006</v>
      </c>
      <c r="D1058" s="67">
        <v>14000</v>
      </c>
    </row>
    <row r="1059" spans="1:4" x14ac:dyDescent="0.3">
      <c r="A1059" s="67" t="s">
        <v>1041</v>
      </c>
      <c r="B1059" s="21">
        <v>45430</v>
      </c>
      <c r="C1059" s="67" t="s">
        <v>1002</v>
      </c>
      <c r="D1059" s="67">
        <v>33800</v>
      </c>
    </row>
    <row r="1060" spans="1:4" x14ac:dyDescent="0.3">
      <c r="A1060" s="67" t="s">
        <v>1042</v>
      </c>
      <c r="B1060" s="21">
        <v>45454</v>
      </c>
      <c r="C1060" s="67" t="s">
        <v>1004</v>
      </c>
      <c r="D1060" s="67">
        <v>28600</v>
      </c>
    </row>
    <row r="1061" spans="1:4" x14ac:dyDescent="0.3">
      <c r="A1061" s="67" t="s">
        <v>1043</v>
      </c>
      <c r="B1061" s="21">
        <v>45470</v>
      </c>
      <c r="C1061" s="67" t="s">
        <v>1006</v>
      </c>
      <c r="D1061" s="67">
        <v>22100</v>
      </c>
    </row>
    <row r="1062" spans="1:4" x14ac:dyDescent="0.3">
      <c r="A1062" s="67" t="s">
        <v>1044</v>
      </c>
      <c r="B1062" s="21">
        <v>45518</v>
      </c>
      <c r="C1062" s="67" t="s">
        <v>1002</v>
      </c>
      <c r="D1062" s="67">
        <v>45800</v>
      </c>
    </row>
    <row r="1063" spans="1:4" x14ac:dyDescent="0.3">
      <c r="A1063" s="67" t="s">
        <v>1045</v>
      </c>
      <c r="B1063" s="21">
        <v>45544</v>
      </c>
      <c r="C1063" s="67" t="s">
        <v>1004</v>
      </c>
      <c r="D1063" s="67">
        <v>51200</v>
      </c>
    </row>
    <row r="1064" spans="1:4" x14ac:dyDescent="0.3">
      <c r="A1064" s="67" t="s">
        <v>1046</v>
      </c>
      <c r="B1064" s="21">
        <v>45617</v>
      </c>
      <c r="C1064" s="67" t="s">
        <v>1006</v>
      </c>
      <c r="D1064" s="67">
        <v>11700</v>
      </c>
    </row>
    <row r="1065" spans="1:4" x14ac:dyDescent="0.3">
      <c r="A1065" s="67"/>
      <c r="B1065" s="67"/>
      <c r="C1065" s="67"/>
      <c r="D1065" s="67"/>
    </row>
    <row r="1066" spans="1:4" x14ac:dyDescent="0.3">
      <c r="A1066" s="67" t="s">
        <v>1047</v>
      </c>
      <c r="B1066" s="21">
        <v>45383</v>
      </c>
      <c r="C1066" s="67"/>
      <c r="D1066" s="67"/>
    </row>
    <row r="1067" spans="1:4" x14ac:dyDescent="0.3">
      <c r="A1067" s="67" t="s">
        <v>1048</v>
      </c>
      <c r="B1067" s="21">
        <v>45473</v>
      </c>
      <c r="C1067" s="67"/>
      <c r="D1067" s="67"/>
    </row>
    <row r="1068" spans="1:4" x14ac:dyDescent="0.3">
      <c r="A1068" s="67"/>
      <c r="B1068" s="67"/>
      <c r="C1068" s="67"/>
      <c r="D1068" s="67"/>
    </row>
    <row r="1069" spans="1:4" x14ac:dyDescent="0.3">
      <c r="A1069" s="67" t="s">
        <v>1002</v>
      </c>
      <c r="B1069" s="8">
        <f>AVERAGEIFS($D$1053:$D$1064,$C$1053:$C$1064,A1069,$B$1053:$B$1064,"&gt;="&amp;$B$1066,$B$1053:$B$1064,"&lt;="&amp;$B$1067)</f>
        <v>30650</v>
      </c>
      <c r="C1069" s="67"/>
      <c r="D1069" s="67"/>
    </row>
    <row r="1070" spans="1:4" x14ac:dyDescent="0.3">
      <c r="A1070" s="67" t="s">
        <v>1004</v>
      </c>
      <c r="B1070" s="8">
        <f>AVERAGEIFS($D$1053:$D$1064,$C$1053:$C$1064,A1070,$B$1053:$B$1064,"&gt;="&amp;$B$1066,$B$1053:$B$1064,"&lt;="&amp;$B$1067)</f>
        <v>30050</v>
      </c>
      <c r="C1070" s="67"/>
      <c r="D1070" s="67"/>
    </row>
    <row r="1071" spans="1:4" x14ac:dyDescent="0.3">
      <c r="A1071" s="67" t="s">
        <v>1006</v>
      </c>
      <c r="B1071" s="8">
        <f>AVERAGEIFS($D$1053:$D$1064,$C$1053:$C$1064,A1071,$B$1053:$B$1064,"&gt;="&amp;$B$1066,$B$1053:$B$1064,"&lt;="&amp;$B$1067)</f>
        <v>18050</v>
      </c>
      <c r="C1071" s="67"/>
      <c r="D1071" s="67"/>
    </row>
    <row r="1073" spans="1:3" x14ac:dyDescent="0.3">
      <c r="B1073" s="72" t="str">
        <f ca="1">_xlfn.FORMULATEXT(B1069)</f>
        <v>=AVERAGEIFS($D$1053:$D$1064,$C$1053:$C$1064,A1069,$B$1053:$B$1064,"&gt;="&amp;$B$1066,$B$1053:$B$1064,"&lt;="&amp;$B$1067)</v>
      </c>
      <c r="C1073" s="72"/>
    </row>
    <row r="1074" spans="1:3" x14ac:dyDescent="0.3">
      <c r="B1074" s="72"/>
      <c r="C1074" s="72"/>
    </row>
    <row r="1076" spans="1:3" x14ac:dyDescent="0.3">
      <c r="A1076" s="22" t="s">
        <v>1052</v>
      </c>
    </row>
    <row r="1077" spans="1:3" ht="31.2" x14ac:dyDescent="0.3">
      <c r="A1077" s="67" t="s">
        <v>1053</v>
      </c>
    </row>
    <row r="1078" spans="1:3" x14ac:dyDescent="0.3">
      <c r="A1078" s="20"/>
    </row>
    <row r="1079" spans="1:3" x14ac:dyDescent="0.3">
      <c r="A1079" s="67" t="s">
        <v>1054</v>
      </c>
    </row>
    <row r="1080" spans="1:3" x14ac:dyDescent="0.3">
      <c r="A1080" s="30"/>
    </row>
    <row r="1081" spans="1:3" x14ac:dyDescent="0.3">
      <c r="A1081" s="30" t="s">
        <v>1058</v>
      </c>
    </row>
    <row r="1082" spans="1:3" x14ac:dyDescent="0.3">
      <c r="A1082" s="30" t="s">
        <v>1059</v>
      </c>
    </row>
    <row r="1083" spans="1:3" x14ac:dyDescent="0.3">
      <c r="A1083" s="20"/>
    </row>
    <row r="1084" spans="1:3" x14ac:dyDescent="0.3">
      <c r="A1084" s="67" t="s">
        <v>1055</v>
      </c>
    </row>
    <row r="1085" spans="1:3" x14ac:dyDescent="0.3">
      <c r="A1085" s="67" t="s">
        <v>1056</v>
      </c>
    </row>
    <row r="1086" spans="1:3" x14ac:dyDescent="0.3">
      <c r="A1086" s="30"/>
    </row>
    <row r="1087" spans="1:3" ht="31.2" x14ac:dyDescent="0.3">
      <c r="A1087" s="30" t="s">
        <v>1060</v>
      </c>
    </row>
    <row r="1088" spans="1:3" x14ac:dyDescent="0.3">
      <c r="A1088" s="30" t="s">
        <v>1061</v>
      </c>
    </row>
    <row r="1089" spans="1:11" x14ac:dyDescent="0.3">
      <c r="A1089" s="30" t="s">
        <v>1062</v>
      </c>
    </row>
    <row r="1090" spans="1:11" x14ac:dyDescent="0.3">
      <c r="A1090" s="30" t="s">
        <v>1063</v>
      </c>
    </row>
    <row r="1091" spans="1:11" x14ac:dyDescent="0.3">
      <c r="A1091" s="30" t="s">
        <v>1064</v>
      </c>
    </row>
    <row r="1092" spans="1:11" x14ac:dyDescent="0.3">
      <c r="A1092" s="20"/>
    </row>
    <row r="1093" spans="1:11" x14ac:dyDescent="0.3">
      <c r="A1093" s="67" t="s">
        <v>1057</v>
      </c>
    </row>
    <row r="1095" spans="1:11" x14ac:dyDescent="0.3">
      <c r="A1095" s="68" t="s">
        <v>1065</v>
      </c>
      <c r="B1095" s="67"/>
      <c r="C1095" s="67"/>
      <c r="D1095" s="67"/>
      <c r="E1095" s="67"/>
      <c r="F1095" s="69" t="s">
        <v>1066</v>
      </c>
      <c r="G1095" s="67"/>
      <c r="H1095" s="67"/>
      <c r="I1095" s="67"/>
      <c r="J1095" s="67"/>
      <c r="K1095" s="60" t="s">
        <v>1067</v>
      </c>
    </row>
    <row r="1096" spans="1:11" x14ac:dyDescent="0.3">
      <c r="A1096" s="10" t="s">
        <v>1068</v>
      </c>
      <c r="B1096" s="10" t="s">
        <v>1069</v>
      </c>
      <c r="C1096" s="10" t="s">
        <v>1070</v>
      </c>
      <c r="D1096" s="10" t="s">
        <v>869</v>
      </c>
      <c r="E1096" s="67"/>
      <c r="F1096" s="10" t="s">
        <v>1068</v>
      </c>
      <c r="G1096" s="10" t="s">
        <v>1069</v>
      </c>
      <c r="H1096" s="10" t="s">
        <v>1070</v>
      </c>
      <c r="I1096" s="10" t="s">
        <v>869</v>
      </c>
      <c r="J1096" s="67"/>
      <c r="K1096" s="10" t="s">
        <v>307</v>
      </c>
    </row>
    <row r="1097" spans="1:11" x14ac:dyDescent="0.3">
      <c r="A1097" s="21">
        <v>45352</v>
      </c>
      <c r="B1097" s="67" t="s">
        <v>1071</v>
      </c>
      <c r="C1097" s="67" t="s">
        <v>1072</v>
      </c>
      <c r="D1097" s="67">
        <v>-245.5</v>
      </c>
      <c r="E1097" s="67"/>
      <c r="F1097" s="21">
        <v>45352</v>
      </c>
      <c r="G1097" s="67" t="s">
        <v>1071</v>
      </c>
      <c r="H1097" s="67" t="s">
        <v>1072</v>
      </c>
      <c r="I1097" s="67">
        <v>-245.5</v>
      </c>
      <c r="J1097" s="67"/>
      <c r="K1097" s="28" t="str">
        <f>IF(ISNA(VLOOKUP(B1097,$G$1097:$G$1103,1,FALSE)),"Missing","Match")</f>
        <v>Match</v>
      </c>
    </row>
    <row r="1098" spans="1:11" x14ac:dyDescent="0.3">
      <c r="A1098" s="21">
        <v>45353</v>
      </c>
      <c r="B1098" s="67" t="s">
        <v>1073</v>
      </c>
      <c r="C1098" s="67" t="s">
        <v>1074</v>
      </c>
      <c r="D1098" s="67">
        <v>3500</v>
      </c>
      <c r="E1098" s="67"/>
      <c r="F1098" s="21">
        <v>45353</v>
      </c>
      <c r="G1098" s="67" t="s">
        <v>1073</v>
      </c>
      <c r="H1098" s="67" t="s">
        <v>1074</v>
      </c>
      <c r="I1098" s="67">
        <v>3500</v>
      </c>
      <c r="J1098" s="67"/>
      <c r="K1098" s="28" t="str">
        <f t="shared" ref="K1098:K1104" si="33">IF(ISNA(VLOOKUP(B1098,$G$1097:$G$1103,1,FALSE)),"Missing","Match")</f>
        <v>Match</v>
      </c>
    </row>
    <row r="1099" spans="1:11" x14ac:dyDescent="0.3">
      <c r="A1099" s="21">
        <v>45356</v>
      </c>
      <c r="B1099" s="67" t="s">
        <v>1075</v>
      </c>
      <c r="C1099" s="67" t="s">
        <v>3</v>
      </c>
      <c r="D1099" s="67">
        <v>-2200</v>
      </c>
      <c r="E1099" s="67"/>
      <c r="F1099" s="21">
        <v>45356</v>
      </c>
      <c r="G1099" s="67" t="s">
        <v>1075</v>
      </c>
      <c r="H1099" s="67" t="s">
        <v>3</v>
      </c>
      <c r="I1099" s="67">
        <v>-2200</v>
      </c>
      <c r="J1099" s="67"/>
      <c r="K1099" s="28" t="str">
        <f t="shared" si="33"/>
        <v>Match</v>
      </c>
    </row>
    <row r="1100" spans="1:11" x14ac:dyDescent="0.3">
      <c r="A1100" s="21">
        <v>45359</v>
      </c>
      <c r="B1100" s="67" t="s">
        <v>1076</v>
      </c>
      <c r="C1100" s="67" t="s">
        <v>356</v>
      </c>
      <c r="D1100" s="67">
        <v>-4850</v>
      </c>
      <c r="E1100" s="67"/>
      <c r="F1100" s="21">
        <v>45359</v>
      </c>
      <c r="G1100" s="67" t="s">
        <v>1076</v>
      </c>
      <c r="H1100" s="67" t="s">
        <v>356</v>
      </c>
      <c r="I1100" s="67">
        <v>-4850</v>
      </c>
      <c r="J1100" s="67"/>
      <c r="K1100" s="28" t="str">
        <f t="shared" si="33"/>
        <v>Match</v>
      </c>
    </row>
    <row r="1101" spans="1:11" x14ac:dyDescent="0.3">
      <c r="A1101" s="21">
        <v>45361</v>
      </c>
      <c r="B1101" s="67" t="s">
        <v>1077</v>
      </c>
      <c r="C1101" s="67" t="s">
        <v>1078</v>
      </c>
      <c r="D1101" s="67">
        <v>1875</v>
      </c>
      <c r="E1101" s="67"/>
      <c r="F1101" s="21">
        <v>45363</v>
      </c>
      <c r="G1101" s="67" t="s">
        <v>1079</v>
      </c>
      <c r="H1101" s="67" t="s">
        <v>1080</v>
      </c>
      <c r="I1101" s="67">
        <v>2500</v>
      </c>
      <c r="J1101" s="67"/>
      <c r="K1101" s="28" t="str">
        <f t="shared" si="33"/>
        <v>Missing</v>
      </c>
    </row>
    <row r="1102" spans="1:11" x14ac:dyDescent="0.3">
      <c r="A1102" s="21">
        <v>45366</v>
      </c>
      <c r="B1102" s="67" t="s">
        <v>1081</v>
      </c>
      <c r="C1102" s="67" t="s">
        <v>1082</v>
      </c>
      <c r="D1102" s="67">
        <v>-680</v>
      </c>
      <c r="E1102" s="67"/>
      <c r="F1102" s="21">
        <v>45366</v>
      </c>
      <c r="G1102" s="67" t="s">
        <v>1081</v>
      </c>
      <c r="H1102" s="67" t="s">
        <v>1082</v>
      </c>
      <c r="I1102" s="67">
        <v>-680</v>
      </c>
      <c r="J1102" s="67"/>
      <c r="K1102" s="28" t="str">
        <f t="shared" si="33"/>
        <v>Match</v>
      </c>
    </row>
    <row r="1103" spans="1:11" x14ac:dyDescent="0.3">
      <c r="A1103" s="21">
        <v>45369</v>
      </c>
      <c r="B1103" s="67" t="s">
        <v>1083</v>
      </c>
      <c r="C1103" s="67" t="s">
        <v>1084</v>
      </c>
      <c r="D1103" s="67">
        <v>-35</v>
      </c>
      <c r="E1103" s="67"/>
      <c r="F1103" s="21">
        <v>45371</v>
      </c>
      <c r="G1103" s="67" t="s">
        <v>1085</v>
      </c>
      <c r="H1103" s="67" t="s">
        <v>67</v>
      </c>
      <c r="I1103" s="67">
        <v>-925</v>
      </c>
      <c r="J1103" s="67"/>
      <c r="K1103" s="28" t="str">
        <f t="shared" si="33"/>
        <v>Missing</v>
      </c>
    </row>
    <row r="1104" spans="1:11" x14ac:dyDescent="0.3">
      <c r="A1104" s="21">
        <v>45373</v>
      </c>
      <c r="B1104" s="67" t="s">
        <v>1079</v>
      </c>
      <c r="C1104" s="67" t="s">
        <v>1080</v>
      </c>
      <c r="D1104" s="67">
        <v>2500</v>
      </c>
      <c r="E1104" s="67"/>
      <c r="F1104" s="67"/>
      <c r="G1104" s="67"/>
      <c r="H1104" s="67"/>
      <c r="I1104" s="67"/>
      <c r="J1104" s="67"/>
      <c r="K1104" s="28" t="str">
        <f t="shared" si="33"/>
        <v>Match</v>
      </c>
    </row>
    <row r="1105" spans="1:11" x14ac:dyDescent="0.3">
      <c r="A1105" s="67"/>
      <c r="B1105" s="67"/>
      <c r="C1105" s="67"/>
      <c r="D1105" s="67"/>
      <c r="E1105" s="67"/>
      <c r="F1105" s="67"/>
      <c r="G1105" s="67"/>
      <c r="H1105" s="67"/>
      <c r="I1105" s="67"/>
      <c r="J1105" s="67"/>
      <c r="K1105" s="67"/>
    </row>
    <row r="1106" spans="1:11" x14ac:dyDescent="0.3">
      <c r="A1106" s="48" t="s">
        <v>331</v>
      </c>
      <c r="B1106" s="67"/>
      <c r="C1106" s="67"/>
      <c r="D1106" s="67"/>
      <c r="E1106" s="67"/>
      <c r="F1106" s="67"/>
      <c r="G1106" s="67"/>
      <c r="H1106" s="67"/>
      <c r="I1106" s="71" t="str">
        <f ca="1">_xlfn.FORMULATEXT(K1097)</f>
        <v>=IF(ISNA(VLOOKUP(B1097,$G$1097:$G$1103,1,FALSE)),"Missing","Match")</v>
      </c>
      <c r="J1106" s="71"/>
      <c r="K1106" s="71"/>
    </row>
    <row r="1107" spans="1:11" x14ac:dyDescent="0.3">
      <c r="A1107" s="67" t="s">
        <v>1086</v>
      </c>
      <c r="B1107" s="67"/>
      <c r="C1107" s="28">
        <f>SUM(D1097:D1104)</f>
        <v>-135.5</v>
      </c>
      <c r="D1107" s="67"/>
      <c r="E1107" s="67"/>
      <c r="F1107" s="67"/>
      <c r="G1107" s="67"/>
      <c r="H1107" s="67"/>
      <c r="I1107" s="67"/>
      <c r="J1107" s="67"/>
      <c r="K1107" s="67"/>
    </row>
    <row r="1108" spans="1:11" x14ac:dyDescent="0.3">
      <c r="A1108" s="67" t="s">
        <v>1087</v>
      </c>
      <c r="B1108" s="67"/>
      <c r="C1108" s="28">
        <f>SUM(I1097:I1103)</f>
        <v>-2900.5</v>
      </c>
      <c r="D1108" s="67"/>
      <c r="E1108" s="67"/>
      <c r="F1108" s="67"/>
      <c r="G1108" s="67"/>
      <c r="H1108" s="67"/>
      <c r="I1108" s="67"/>
      <c r="J1108" s="67"/>
      <c r="K1108" s="67"/>
    </row>
    <row r="1109" spans="1:11" x14ac:dyDescent="0.3">
      <c r="A1109" s="67" t="s">
        <v>1088</v>
      </c>
      <c r="B1109" s="67"/>
      <c r="C1109" s="28">
        <f>C1107-C1108</f>
        <v>2765</v>
      </c>
      <c r="D1109" s="67"/>
      <c r="E1109" s="67"/>
      <c r="F1109" s="67"/>
      <c r="G1109" s="67"/>
      <c r="H1109" s="67"/>
      <c r="I1109" s="67"/>
      <c r="J1109" s="67"/>
      <c r="K1109" s="67"/>
    </row>
    <row r="1110" spans="1:11" x14ac:dyDescent="0.3">
      <c r="A1110" s="67" t="s">
        <v>1089</v>
      </c>
      <c r="B1110" s="67"/>
      <c r="C1110" s="28">
        <f>SUMIF(K1097:K1104,"Missing",D1097:D1104)</f>
        <v>1840</v>
      </c>
      <c r="D1110" s="67"/>
      <c r="E1110" s="67"/>
      <c r="F1110" s="67"/>
      <c r="G1110" s="67"/>
      <c r="H1110" s="67"/>
      <c r="I1110" s="67"/>
      <c r="J1110" s="67"/>
      <c r="K1110" s="67"/>
    </row>
    <row r="1111" spans="1:11" x14ac:dyDescent="0.3">
      <c r="A1111" s="67"/>
      <c r="B1111" s="67"/>
      <c r="C1111" s="67"/>
      <c r="D1111" s="67"/>
      <c r="E1111" s="67"/>
      <c r="F1111" s="67"/>
      <c r="G1111" s="67"/>
      <c r="H1111" s="67"/>
      <c r="I1111" s="67"/>
      <c r="J1111" s="67"/>
      <c r="K1111" s="67"/>
    </row>
    <row r="1112" spans="1:11" x14ac:dyDescent="0.3">
      <c r="A1112" s="22" t="s">
        <v>1090</v>
      </c>
      <c r="B1112" s="67"/>
      <c r="C1112" s="67"/>
      <c r="D1112" s="67"/>
      <c r="E1112" s="67"/>
      <c r="F1112" s="67"/>
      <c r="G1112" s="67"/>
      <c r="H1112" s="67"/>
      <c r="I1112" s="67"/>
      <c r="J1112" s="67"/>
      <c r="K1112" s="67"/>
    </row>
    <row r="1113" spans="1:11" x14ac:dyDescent="0.3">
      <c r="A1113" s="67" t="s">
        <v>1091</v>
      </c>
      <c r="B1113" s="67"/>
      <c r="C1113" s="67"/>
      <c r="D1113" s="67"/>
      <c r="E1113" s="67"/>
      <c r="F1113" s="67"/>
      <c r="G1113" s="67"/>
      <c r="H1113" s="67"/>
      <c r="I1113" s="67"/>
      <c r="J1113" s="67"/>
      <c r="K1113" s="67"/>
    </row>
    <row r="1114" spans="1:11" x14ac:dyDescent="0.3">
      <c r="A1114" s="67" t="s">
        <v>1094</v>
      </c>
      <c r="B1114" s="67"/>
      <c r="C1114" s="67"/>
    </row>
    <row r="1115" spans="1:11" x14ac:dyDescent="0.3">
      <c r="A1115" s="67" t="s">
        <v>1092</v>
      </c>
      <c r="B1115" s="67"/>
      <c r="C1115" s="67"/>
    </row>
    <row r="1116" spans="1:11" x14ac:dyDescent="0.3">
      <c r="A1116" s="67" t="s">
        <v>1095</v>
      </c>
      <c r="B1116" s="67"/>
      <c r="C1116" s="67"/>
    </row>
    <row r="1117" spans="1:11" x14ac:dyDescent="0.3">
      <c r="A1117" s="67" t="s">
        <v>1096</v>
      </c>
      <c r="B1117" s="67"/>
      <c r="C1117" s="67"/>
    </row>
    <row r="1118" spans="1:11" x14ac:dyDescent="0.3">
      <c r="A1118" s="67" t="s">
        <v>954</v>
      </c>
      <c r="B1118" s="67"/>
      <c r="C1118" s="67"/>
    </row>
    <row r="1119" spans="1:11" x14ac:dyDescent="0.3">
      <c r="A1119" s="67" t="s">
        <v>1097</v>
      </c>
      <c r="B1119" s="67"/>
      <c r="C1119" s="67"/>
    </row>
    <row r="1120" spans="1:11" x14ac:dyDescent="0.3">
      <c r="A1120" s="67"/>
      <c r="B1120" s="67"/>
      <c r="C1120" s="67"/>
    </row>
    <row r="1121" spans="1:3" x14ac:dyDescent="0.3">
      <c r="A1121" s="67" t="s">
        <v>73</v>
      </c>
      <c r="B1121" s="67" t="s">
        <v>1000</v>
      </c>
      <c r="C1121" s="67"/>
    </row>
    <row r="1122" spans="1:3" x14ac:dyDescent="0.3">
      <c r="A1122" s="67" t="s">
        <v>75</v>
      </c>
      <c r="B1122" s="67">
        <v>18200</v>
      </c>
      <c r="C1122" s="67"/>
    </row>
    <row r="1123" spans="1:3" x14ac:dyDescent="0.3">
      <c r="A1123" s="67" t="s">
        <v>76</v>
      </c>
      <c r="B1123" s="67">
        <v>16500</v>
      </c>
      <c r="C1123" s="67"/>
    </row>
    <row r="1124" spans="1:3" x14ac:dyDescent="0.3">
      <c r="A1124" s="67" t="s">
        <v>77</v>
      </c>
      <c r="B1124" s="67">
        <v>19350</v>
      </c>
      <c r="C1124" s="67"/>
    </row>
    <row r="1125" spans="1:3" x14ac:dyDescent="0.3">
      <c r="A1125" s="67" t="s">
        <v>78</v>
      </c>
      <c r="B1125" s="67">
        <v>21000</v>
      </c>
      <c r="C1125" s="67"/>
    </row>
    <row r="1126" spans="1:3" x14ac:dyDescent="0.3">
      <c r="A1126" s="67" t="s">
        <v>79</v>
      </c>
      <c r="B1126" s="67">
        <v>19800</v>
      </c>
      <c r="C1126" s="67"/>
    </row>
    <row r="1127" spans="1:3" x14ac:dyDescent="0.3">
      <c r="A1127" s="67" t="s">
        <v>80</v>
      </c>
      <c r="B1127" s="67">
        <v>22500</v>
      </c>
      <c r="C1127" s="67"/>
    </row>
    <row r="1128" spans="1:3" x14ac:dyDescent="0.3">
      <c r="A1128" s="67"/>
      <c r="B1128" s="67"/>
      <c r="C1128" s="67"/>
    </row>
    <row r="1129" spans="1:3" x14ac:dyDescent="0.3">
      <c r="A1129" s="67" t="s">
        <v>1093</v>
      </c>
      <c r="B1129" s="8">
        <f>SUM(B1122:B1127)</f>
        <v>117350</v>
      </c>
      <c r="C1129" s="67"/>
    </row>
    <row r="1130" spans="1:3" x14ac:dyDescent="0.3">
      <c r="A1130" s="67"/>
      <c r="B1130" s="67"/>
      <c r="C1130" s="67"/>
    </row>
    <row r="1131" spans="1:3" x14ac:dyDescent="0.3">
      <c r="A1131" s="22" t="s">
        <v>1098</v>
      </c>
      <c r="B1131" s="67"/>
      <c r="C1131" s="67"/>
    </row>
    <row r="1132" spans="1:3" x14ac:dyDescent="0.3">
      <c r="A1132" s="67" t="s">
        <v>1099</v>
      </c>
      <c r="B1132" s="67"/>
    </row>
    <row r="1133" spans="1:3" x14ac:dyDescent="0.3">
      <c r="A1133" s="67" t="s">
        <v>1100</v>
      </c>
      <c r="B1133" s="67"/>
    </row>
    <row r="1134" spans="1:3" x14ac:dyDescent="0.3">
      <c r="A1134" s="67" t="s">
        <v>1101</v>
      </c>
      <c r="B1134" s="67"/>
    </row>
    <row r="1135" spans="1:3" x14ac:dyDescent="0.3">
      <c r="A1135" s="67" t="s">
        <v>1011</v>
      </c>
      <c r="B1135" s="67"/>
    </row>
    <row r="1136" spans="1:3" x14ac:dyDescent="0.3">
      <c r="A1136" s="67" t="s">
        <v>1102</v>
      </c>
      <c r="B1136" s="67"/>
    </row>
    <row r="1137" spans="1:2" x14ac:dyDescent="0.3">
      <c r="A1137" s="67" t="s">
        <v>1103</v>
      </c>
      <c r="B1137" s="67"/>
    </row>
    <row r="1138" spans="1:2" x14ac:dyDescent="0.3">
      <c r="A1138" s="67"/>
      <c r="B1138" s="67"/>
    </row>
    <row r="1139" spans="1:2" x14ac:dyDescent="0.3">
      <c r="A1139" s="10" t="s">
        <v>104</v>
      </c>
      <c r="B1139" s="10" t="s">
        <v>1104</v>
      </c>
    </row>
    <row r="1140" spans="1:2" x14ac:dyDescent="0.3">
      <c r="A1140" s="67" t="s">
        <v>1105</v>
      </c>
      <c r="B1140" s="67">
        <v>85</v>
      </c>
    </row>
    <row r="1141" spans="1:2" x14ac:dyDescent="0.3">
      <c r="A1141" s="67" t="s">
        <v>1106</v>
      </c>
      <c r="B1141" s="67">
        <v>120</v>
      </c>
    </row>
    <row r="1142" spans="1:2" x14ac:dyDescent="0.3">
      <c r="A1142" s="67" t="s">
        <v>1107</v>
      </c>
      <c r="B1142" s="67">
        <v>45</v>
      </c>
    </row>
    <row r="1143" spans="1:2" x14ac:dyDescent="0.3">
      <c r="A1143" s="67" t="s">
        <v>1108</v>
      </c>
      <c r="B1143" s="67">
        <v>200</v>
      </c>
    </row>
    <row r="1144" spans="1:2" x14ac:dyDescent="0.3">
      <c r="A1144" s="67" t="s">
        <v>1109</v>
      </c>
      <c r="B1144" s="67">
        <v>75</v>
      </c>
    </row>
    <row r="1145" spans="1:2" x14ac:dyDescent="0.3">
      <c r="A1145" s="67" t="s">
        <v>1110</v>
      </c>
      <c r="B1145" s="67">
        <v>150</v>
      </c>
    </row>
    <row r="1146" spans="1:2" x14ac:dyDescent="0.3">
      <c r="A1146" s="67"/>
      <c r="B1146" s="67"/>
    </row>
    <row r="1147" spans="1:2" x14ac:dyDescent="0.3">
      <c r="A1147" s="67" t="s">
        <v>1111</v>
      </c>
      <c r="B1147" s="8">
        <f>AVERAGE(B1140:B1145)</f>
        <v>112.5</v>
      </c>
    </row>
    <row r="1149" spans="1:2" x14ac:dyDescent="0.3">
      <c r="A1149" s="22" t="s">
        <v>1112</v>
      </c>
    </row>
    <row r="1150" spans="1:2" x14ac:dyDescent="0.3">
      <c r="A1150" s="67" t="s">
        <v>1113</v>
      </c>
    </row>
    <row r="1151" spans="1:2" ht="31.2" x14ac:dyDescent="0.3">
      <c r="A1151" s="67" t="s">
        <v>1114</v>
      </c>
    </row>
    <row r="1152" spans="1:2" x14ac:dyDescent="0.3">
      <c r="A1152" s="67" t="s">
        <v>1115</v>
      </c>
    </row>
    <row r="1153" spans="1:3" x14ac:dyDescent="0.3">
      <c r="A1153" s="70" t="s">
        <v>1122</v>
      </c>
    </row>
    <row r="1154" spans="1:3" x14ac:dyDescent="0.3">
      <c r="A1154" s="70" t="s">
        <v>1123</v>
      </c>
    </row>
    <row r="1155" spans="1:3" ht="31.2" x14ac:dyDescent="0.3">
      <c r="A1155" s="67" t="s">
        <v>1116</v>
      </c>
    </row>
    <row r="1156" spans="1:3" x14ac:dyDescent="0.3">
      <c r="A1156" s="67" t="s">
        <v>1011</v>
      </c>
    </row>
    <row r="1157" spans="1:3" x14ac:dyDescent="0.3">
      <c r="A1157" s="67" t="s">
        <v>1117</v>
      </c>
    </row>
    <row r="1158" spans="1:3" x14ac:dyDescent="0.3">
      <c r="A1158" s="30" t="s">
        <v>1118</v>
      </c>
    </row>
    <row r="1159" spans="1:3" x14ac:dyDescent="0.3">
      <c r="A1159" s="30" t="s">
        <v>1119</v>
      </c>
    </row>
    <row r="1160" spans="1:3" x14ac:dyDescent="0.3">
      <c r="A1160" s="30" t="s">
        <v>1120</v>
      </c>
    </row>
    <row r="1161" spans="1:3" x14ac:dyDescent="0.3">
      <c r="A1161" s="67" t="s">
        <v>1121</v>
      </c>
    </row>
    <row r="1162" spans="1:3" x14ac:dyDescent="0.3">
      <c r="A1162" s="30" t="s">
        <v>1124</v>
      </c>
      <c r="B1162" s="30"/>
      <c r="C1162" s="30"/>
    </row>
    <row r="1163" spans="1:3" x14ac:dyDescent="0.3">
      <c r="A1163" s="30" t="s">
        <v>1125</v>
      </c>
      <c r="B1163" s="30"/>
      <c r="C1163" s="30"/>
    </row>
    <row r="1164" spans="1:3" x14ac:dyDescent="0.3">
      <c r="A1164" s="30"/>
      <c r="B1164" s="30"/>
      <c r="C1164" s="30"/>
    </row>
    <row r="1165" spans="1:3" x14ac:dyDescent="0.3">
      <c r="A1165" s="30" t="s">
        <v>1126</v>
      </c>
      <c r="B1165" s="30" t="s">
        <v>1127</v>
      </c>
      <c r="C1165" s="30"/>
    </row>
    <row r="1166" spans="1:3" x14ac:dyDescent="0.3">
      <c r="A1166" s="30"/>
      <c r="B1166" s="30"/>
      <c r="C1166" s="30"/>
    </row>
    <row r="1167" spans="1:3" x14ac:dyDescent="0.3">
      <c r="A1167" s="30" t="s">
        <v>1128</v>
      </c>
      <c r="B1167" s="30">
        <v>75</v>
      </c>
      <c r="C1167" s="30"/>
    </row>
    <row r="1168" spans="1:3" x14ac:dyDescent="0.3">
      <c r="A1168" s="30" t="s">
        <v>1129</v>
      </c>
      <c r="B1168" s="30">
        <v>45</v>
      </c>
      <c r="C1168" s="30"/>
    </row>
    <row r="1169" spans="1:5" x14ac:dyDescent="0.3">
      <c r="A1169" s="30"/>
      <c r="B1169" s="30"/>
      <c r="C1169" s="30"/>
    </row>
    <row r="1170" spans="1:5" x14ac:dyDescent="0.3">
      <c r="A1170" s="30" t="s">
        <v>1130</v>
      </c>
      <c r="B1170" s="10">
        <v>24000</v>
      </c>
      <c r="C1170" s="30"/>
    </row>
    <row r="1171" spans="1:5" x14ac:dyDescent="0.3">
      <c r="A1171" s="30"/>
      <c r="B1171" s="67"/>
      <c r="C1171" s="30"/>
    </row>
    <row r="1172" spans="1:5" x14ac:dyDescent="0.3">
      <c r="A1172" s="30" t="s">
        <v>1131</v>
      </c>
      <c r="B1172" s="8">
        <f>B1167-B1168</f>
        <v>30</v>
      </c>
      <c r="C1172" s="30"/>
    </row>
    <row r="1173" spans="1:5" x14ac:dyDescent="0.3">
      <c r="A1173" s="30" t="s">
        <v>1112</v>
      </c>
      <c r="B1173" s="8">
        <f>B1170/B1172</f>
        <v>800</v>
      </c>
      <c r="C1173" s="30"/>
    </row>
    <row r="1174" spans="1:5" x14ac:dyDescent="0.3">
      <c r="A1174" s="30"/>
      <c r="B1174" s="30"/>
      <c r="C1174" s="30"/>
    </row>
    <row r="1175" spans="1:5" x14ac:dyDescent="0.3">
      <c r="A1175" s="22" t="s">
        <v>1132</v>
      </c>
      <c r="B1175" s="30"/>
      <c r="C1175" s="30"/>
    </row>
    <row r="1176" spans="1:5" ht="46.8" x14ac:dyDescent="0.3">
      <c r="A1176" s="30" t="s">
        <v>1133</v>
      </c>
      <c r="B1176" s="30"/>
      <c r="C1176" s="30"/>
    </row>
    <row r="1177" spans="1:5" ht="46.8" x14ac:dyDescent="0.3">
      <c r="A1177" s="30" t="s">
        <v>1134</v>
      </c>
      <c r="B1177" s="30"/>
      <c r="C1177" s="30"/>
    </row>
    <row r="1178" spans="1:5" x14ac:dyDescent="0.3">
      <c r="A1178" s="30" t="s">
        <v>1135</v>
      </c>
      <c r="B1178" s="30"/>
      <c r="C1178" s="30"/>
    </row>
    <row r="1179" spans="1:5" x14ac:dyDescent="0.3">
      <c r="A1179" s="30" t="s">
        <v>1136</v>
      </c>
      <c r="B1179" s="30"/>
      <c r="C1179" s="30"/>
    </row>
    <row r="1180" spans="1:5" x14ac:dyDescent="0.3">
      <c r="A1180" s="30" t="s">
        <v>1011</v>
      </c>
      <c r="B1180" s="30"/>
      <c r="C1180" s="30"/>
    </row>
    <row r="1181" spans="1:5" ht="46.8" x14ac:dyDescent="0.3">
      <c r="A1181" s="30" t="s">
        <v>1156</v>
      </c>
    </row>
    <row r="1182" spans="1:5" x14ac:dyDescent="0.3">
      <c r="A1182" s="30"/>
    </row>
    <row r="1183" spans="1:5" x14ac:dyDescent="0.3">
      <c r="A1183" s="13" t="s">
        <v>403</v>
      </c>
      <c r="B1183" s="13" t="s">
        <v>1137</v>
      </c>
      <c r="C1183" s="13" t="s">
        <v>1138</v>
      </c>
      <c r="D1183" s="67"/>
      <c r="E1183" s="67"/>
    </row>
    <row r="1184" spans="1:5" x14ac:dyDescent="0.3">
      <c r="A1184" s="67" t="s">
        <v>1139</v>
      </c>
      <c r="B1184" s="67">
        <v>1</v>
      </c>
      <c r="C1184" s="67">
        <v>2</v>
      </c>
      <c r="D1184" s="67"/>
      <c r="E1184" s="67"/>
    </row>
    <row r="1185" spans="1:8" x14ac:dyDescent="0.3">
      <c r="A1185" s="67" t="s">
        <v>1140</v>
      </c>
      <c r="B1185" s="67">
        <v>1</v>
      </c>
      <c r="C1185" s="67">
        <v>3</v>
      </c>
      <c r="D1185" s="67"/>
      <c r="E1185" s="67"/>
    </row>
    <row r="1186" spans="1:8" x14ac:dyDescent="0.3">
      <c r="A1186" s="67" t="s">
        <v>1141</v>
      </c>
      <c r="B1186" s="67">
        <v>1</v>
      </c>
      <c r="C1186" s="67">
        <v>5</v>
      </c>
      <c r="D1186" s="67"/>
      <c r="E1186" s="67"/>
    </row>
    <row r="1187" spans="1:8" x14ac:dyDescent="0.3">
      <c r="A1187" s="67" t="s">
        <v>1142</v>
      </c>
      <c r="B1187" s="67">
        <v>2</v>
      </c>
      <c r="C1187" s="67">
        <v>2</v>
      </c>
      <c r="D1187" s="67"/>
      <c r="E1187" s="67"/>
    </row>
    <row r="1188" spans="1:8" x14ac:dyDescent="0.3">
      <c r="A1188" s="67" t="s">
        <v>1143</v>
      </c>
      <c r="B1188" s="67">
        <v>2</v>
      </c>
      <c r="C1188" s="67">
        <v>4</v>
      </c>
      <c r="D1188" s="67"/>
      <c r="E1188" s="67"/>
    </row>
    <row r="1189" spans="1:8" x14ac:dyDescent="0.3">
      <c r="A1189" s="67" t="s">
        <v>1144</v>
      </c>
      <c r="B1189" s="67">
        <v>2</v>
      </c>
      <c r="C1189" s="67">
        <v>4</v>
      </c>
      <c r="D1189" s="67"/>
      <c r="E1189" s="67"/>
    </row>
    <row r="1190" spans="1:8" x14ac:dyDescent="0.3">
      <c r="A1190" s="67" t="s">
        <v>1145</v>
      </c>
      <c r="B1190" s="67">
        <v>3</v>
      </c>
      <c r="C1190" s="67">
        <v>3</v>
      </c>
      <c r="D1190" s="67"/>
      <c r="E1190" s="67"/>
    </row>
    <row r="1191" spans="1:8" x14ac:dyDescent="0.3">
      <c r="A1191" s="67" t="s">
        <v>1146</v>
      </c>
      <c r="B1191" s="67">
        <v>3</v>
      </c>
      <c r="C1191" s="67">
        <v>3</v>
      </c>
      <c r="D1191" s="67"/>
      <c r="E1191" s="67"/>
    </row>
    <row r="1192" spans="1:8" x14ac:dyDescent="0.3">
      <c r="A1192" s="67" t="s">
        <v>1147</v>
      </c>
      <c r="B1192" s="67">
        <v>3</v>
      </c>
      <c r="C1192" s="67">
        <v>5</v>
      </c>
      <c r="D1192" s="67"/>
      <c r="E1192" s="67"/>
    </row>
    <row r="1193" spans="1:8" x14ac:dyDescent="0.3">
      <c r="A1193" s="67" t="s">
        <v>1148</v>
      </c>
      <c r="B1193" s="67">
        <v>4</v>
      </c>
      <c r="C1193" s="67">
        <v>4</v>
      </c>
      <c r="D1193" s="67"/>
      <c r="E1193" s="67"/>
    </row>
    <row r="1194" spans="1:8" x14ac:dyDescent="0.3">
      <c r="A1194" s="67" t="s">
        <v>1149</v>
      </c>
      <c r="B1194" s="67">
        <v>4</v>
      </c>
      <c r="C1194" s="67">
        <v>5</v>
      </c>
      <c r="D1194" s="67"/>
      <c r="E1194" s="67"/>
    </row>
    <row r="1195" spans="1:8" x14ac:dyDescent="0.3">
      <c r="A1195" s="67" t="s">
        <v>1150</v>
      </c>
      <c r="B1195" s="67">
        <v>4</v>
      </c>
      <c r="C1195" s="67">
        <v>5</v>
      </c>
      <c r="D1195" s="67"/>
      <c r="E1195" s="67"/>
    </row>
    <row r="1196" spans="1:8" x14ac:dyDescent="0.3">
      <c r="A1196" s="67"/>
      <c r="B1196" s="67"/>
      <c r="C1196" s="67"/>
      <c r="D1196" s="67"/>
      <c r="E1196" s="67"/>
    </row>
    <row r="1197" spans="1:8" x14ac:dyDescent="0.3">
      <c r="A1197" s="13" t="s">
        <v>1151</v>
      </c>
      <c r="B1197" s="13" t="s">
        <v>1152</v>
      </c>
      <c r="C1197" s="13" t="s">
        <v>1153</v>
      </c>
      <c r="D1197" s="13" t="s">
        <v>1154</v>
      </c>
      <c r="E1197" s="13" t="s">
        <v>1155</v>
      </c>
    </row>
    <row r="1198" spans="1:8" x14ac:dyDescent="0.3">
      <c r="A1198" s="67">
        <v>1</v>
      </c>
      <c r="B1198" s="28">
        <f>COUNTIF($B$1184:$B$1195,A1198)</f>
        <v>3</v>
      </c>
      <c r="C1198" s="78">
        <f>COUNTIFS($B$1184:$B$1195,A1198,$C$1184:$C$1195,"&gt;="&amp;A1198+1)/B1198</f>
        <v>1</v>
      </c>
      <c r="D1198" s="78">
        <f>COUNTIFS($B$1184:$B$1195,A1198,$C$1184:$C$1195,"&gt;="&amp;A1198+2)/B1198</f>
        <v>0.66666666666666663</v>
      </c>
      <c r="E1198" s="78">
        <f>COUNTIFS($B$1184:$B$1195,A1198,$C$1184:$C$1195,"&gt;="&amp;A1198+3)/B1198</f>
        <v>0.33333333333333331</v>
      </c>
      <c r="F1198" s="72" t="str">
        <f ca="1">_xlfn.FORMULATEXT(E1198)</f>
        <v>=COUNTIFS($B$1184:$B$1195,A1198,$C$1184:$C$1195,"&gt;="&amp;A1198+3)/B1198</v>
      </c>
      <c r="G1198" s="72"/>
      <c r="H1198" s="72"/>
    </row>
    <row r="1199" spans="1:8" x14ac:dyDescent="0.3">
      <c r="A1199" s="67">
        <v>2</v>
      </c>
      <c r="B1199" s="28">
        <f t="shared" ref="B1199:C1201" si="34">COUNTIF($B$1184:$B$1195,A1199)</f>
        <v>3</v>
      </c>
      <c r="C1199" s="78">
        <f t="shared" ref="C1199:C1201" si="35">COUNTIFS($B$1184:$B$1195,A1199,$C$1184:$C$1195,"&gt;="&amp;A1199+1)/B1199</f>
        <v>0.66666666666666663</v>
      </c>
      <c r="D1199" s="78">
        <f t="shared" ref="D1199:D1200" si="36">COUNTIFS($B$1184:$B$1195,A1199,$C$1184:$C$1195,"&gt;="&amp;A1199+2)/B1199</f>
        <v>0.66666666666666663</v>
      </c>
      <c r="E1199" s="78">
        <f>COUNTIFS($B$1184:$B$1195,A1199,$C$1184:$C$1195,"&gt;="&amp;A1199+3)/B1199</f>
        <v>0</v>
      </c>
      <c r="F1199" s="72"/>
      <c r="G1199" s="72"/>
      <c r="H1199" s="72"/>
    </row>
    <row r="1200" spans="1:8" x14ac:dyDescent="0.3">
      <c r="A1200" s="67">
        <v>3</v>
      </c>
      <c r="B1200" s="28">
        <f t="shared" si="34"/>
        <v>3</v>
      </c>
      <c r="C1200" s="78">
        <f t="shared" si="35"/>
        <v>0.33333333333333331</v>
      </c>
      <c r="D1200" s="78">
        <f t="shared" si="36"/>
        <v>0.33333333333333331</v>
      </c>
      <c r="E1200" s="79"/>
      <c r="F1200" s="75" t="str">
        <f ca="1">_xlfn.FORMULATEXT(B1198)</f>
        <v>=COUNTIF($B$1184:$B$1195,A1198)</v>
      </c>
      <c r="G1200" s="75"/>
      <c r="H1200" s="75"/>
    </row>
    <row r="1201" spans="1:7" x14ac:dyDescent="0.3">
      <c r="A1201" s="67">
        <v>4</v>
      </c>
      <c r="B1201" s="28">
        <f t="shared" si="34"/>
        <v>3</v>
      </c>
      <c r="C1201" s="78">
        <f t="shared" si="35"/>
        <v>0.66666666666666663</v>
      </c>
      <c r="D1201" s="79"/>
      <c r="E1201" s="79"/>
    </row>
    <row r="1203" spans="1:7" s="67" customFormat="1" x14ac:dyDescent="0.3">
      <c r="A1203" s="22" t="s">
        <v>1157</v>
      </c>
    </row>
    <row r="1204" spans="1:7" s="67" customFormat="1" ht="31.2" x14ac:dyDescent="0.3">
      <c r="A1204" s="67" t="s">
        <v>1158</v>
      </c>
    </row>
    <row r="1205" spans="1:7" s="67" customFormat="1" x14ac:dyDescent="0.3">
      <c r="A1205" s="67" t="s">
        <v>1159</v>
      </c>
    </row>
    <row r="1206" spans="1:7" s="67" customFormat="1" x14ac:dyDescent="0.3">
      <c r="A1206" s="67" t="s">
        <v>1161</v>
      </c>
    </row>
    <row r="1207" spans="1:7" s="67" customFormat="1" x14ac:dyDescent="0.3">
      <c r="A1207" s="67" t="s">
        <v>1171</v>
      </c>
    </row>
    <row r="1208" spans="1:7" s="67" customFormat="1" x14ac:dyDescent="0.3">
      <c r="A1208" s="67" t="s">
        <v>677</v>
      </c>
    </row>
    <row r="1209" spans="1:7" s="67" customFormat="1" x14ac:dyDescent="0.3">
      <c r="A1209" s="67" t="s">
        <v>1172</v>
      </c>
    </row>
    <row r="1210" spans="1:7" s="67" customFormat="1" x14ac:dyDescent="0.3">
      <c r="A1210" s="67" t="s">
        <v>1173</v>
      </c>
    </row>
    <row r="1211" spans="1:7" s="67" customFormat="1" x14ac:dyDescent="0.3">
      <c r="A1211" s="67" t="s">
        <v>1160</v>
      </c>
    </row>
    <row r="1212" spans="1:7" s="67" customFormat="1" x14ac:dyDescent="0.3">
      <c r="A1212" s="67" t="s">
        <v>1174</v>
      </c>
    </row>
    <row r="1213" spans="1:7" s="67" customFormat="1" x14ac:dyDescent="0.3"/>
    <row r="1214" spans="1:7" s="67" customFormat="1" x14ac:dyDescent="0.3">
      <c r="A1214" s="13" t="s">
        <v>113</v>
      </c>
      <c r="B1214" s="13" t="s">
        <v>1162</v>
      </c>
      <c r="C1214" s="13" t="s">
        <v>73</v>
      </c>
      <c r="D1214" s="13" t="s">
        <v>1163</v>
      </c>
      <c r="E1214" s="13" t="s">
        <v>1164</v>
      </c>
    </row>
    <row r="1215" spans="1:7" s="67" customFormat="1" x14ac:dyDescent="0.3">
      <c r="A1215" s="67" t="s">
        <v>1165</v>
      </c>
      <c r="B1215" s="67">
        <v>2024</v>
      </c>
      <c r="C1215" s="67">
        <v>3</v>
      </c>
      <c r="D1215" s="67">
        <v>15</v>
      </c>
      <c r="E1215" s="21">
        <f>DATE(B1215,C1215,D1215)</f>
        <v>45366</v>
      </c>
      <c r="F1215" s="71" t="str">
        <f ca="1">_xlfn.FORMULATEXT(E1215)</f>
        <v>=DATE(B1215,C1215,D1215)</v>
      </c>
      <c r="G1215" s="71"/>
    </row>
    <row r="1216" spans="1:7" s="67" customFormat="1" x14ac:dyDescent="0.3">
      <c r="A1216" s="67" t="s">
        <v>1166</v>
      </c>
      <c r="B1216" s="67">
        <v>2024</v>
      </c>
      <c r="C1216" s="67">
        <v>7</v>
      </c>
      <c r="D1216" s="67">
        <v>4</v>
      </c>
      <c r="E1216" s="21">
        <f t="shared" ref="E1216:E1220" si="37">DATE(B1216,C1216,D1216)</f>
        <v>45477</v>
      </c>
    </row>
    <row r="1217" spans="1:5" s="67" customFormat="1" x14ac:dyDescent="0.3">
      <c r="A1217" s="67" t="s">
        <v>1167</v>
      </c>
      <c r="B1217" s="67">
        <v>2024</v>
      </c>
      <c r="C1217" s="67">
        <v>11</v>
      </c>
      <c r="D1217" s="67">
        <v>28</v>
      </c>
      <c r="E1217" s="21">
        <f t="shared" si="37"/>
        <v>45624</v>
      </c>
    </row>
    <row r="1218" spans="1:5" s="67" customFormat="1" x14ac:dyDescent="0.3">
      <c r="A1218" s="67" t="s">
        <v>1168</v>
      </c>
      <c r="B1218" s="67">
        <v>2025</v>
      </c>
      <c r="C1218" s="67">
        <v>1</v>
      </c>
      <c r="D1218" s="67">
        <v>9</v>
      </c>
      <c r="E1218" s="21">
        <f t="shared" si="37"/>
        <v>45666</v>
      </c>
    </row>
    <row r="1219" spans="1:5" s="67" customFormat="1" x14ac:dyDescent="0.3">
      <c r="A1219" s="67" t="s">
        <v>1169</v>
      </c>
      <c r="B1219" s="67">
        <v>2025</v>
      </c>
      <c r="C1219" s="67">
        <v>6</v>
      </c>
      <c r="D1219" s="67">
        <v>21</v>
      </c>
      <c r="E1219" s="21">
        <f t="shared" si="37"/>
        <v>45829</v>
      </c>
    </row>
    <row r="1220" spans="1:5" s="67" customFormat="1" x14ac:dyDescent="0.3">
      <c r="A1220" s="67" t="s">
        <v>1170</v>
      </c>
      <c r="B1220" s="67">
        <v>2025</v>
      </c>
      <c r="C1220" s="67">
        <v>10</v>
      </c>
      <c r="D1220" s="67">
        <v>3</v>
      </c>
      <c r="E1220" s="21">
        <f t="shared" si="37"/>
        <v>45933</v>
      </c>
    </row>
    <row r="1221" spans="1:5" s="67" customFormat="1" x14ac:dyDescent="0.3"/>
    <row r="1222" spans="1:5" s="67" customFormat="1" x14ac:dyDescent="0.3"/>
    <row r="1223" spans="1:5" s="67" customFormat="1" x14ac:dyDescent="0.3"/>
  </sheetData>
  <mergeCells count="28">
    <mergeCell ref="F1215:G1215"/>
    <mergeCell ref="F1200:H1200"/>
    <mergeCell ref="F1198:H1199"/>
    <mergeCell ref="C236:C237"/>
    <mergeCell ref="B256:C256"/>
    <mergeCell ref="C359:C360"/>
    <mergeCell ref="C476:E476"/>
    <mergeCell ref="C477:E477"/>
    <mergeCell ref="E627:F627"/>
    <mergeCell ref="B572:B574"/>
    <mergeCell ref="B550:B552"/>
    <mergeCell ref="B500:C500"/>
    <mergeCell ref="C669:D669"/>
    <mergeCell ref="I1106:K1106"/>
    <mergeCell ref="B684:C684"/>
    <mergeCell ref="B685:C685"/>
    <mergeCell ref="B700:C700"/>
    <mergeCell ref="B702:C702"/>
    <mergeCell ref="B756:C756"/>
    <mergeCell ref="B718:D718"/>
    <mergeCell ref="B742:D742"/>
    <mergeCell ref="B743:D743"/>
    <mergeCell ref="B937:C937"/>
    <mergeCell ref="G1032:I1032"/>
    <mergeCell ref="B1073:C1074"/>
    <mergeCell ref="B1013:C1013"/>
    <mergeCell ref="G869:I870"/>
    <mergeCell ref="E894:F897"/>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Practice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Shiva Thakur</dc:creator>
  <cp:lastModifiedBy>Shiva Thakur</cp:lastModifiedBy>
  <dcterms:created xsi:type="dcterms:W3CDTF">2015-06-05T18:17:20Z</dcterms:created>
  <dcterms:modified xsi:type="dcterms:W3CDTF">2026-07-08T18:25:20Z</dcterms:modified>
</cp:coreProperties>
</file>