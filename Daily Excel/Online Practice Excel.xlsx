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45" documentId="11_F25DC773A252ABDACC1048BD89DC52D45ADE58EF" xr6:coauthVersionLast="47" xr6:coauthVersionMax="47" xr10:uidLastSave="{3A0FE151-D040-4ACB-BAA3-76F2DDD045B4}"/>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46" i="1" l="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847" i="1"/>
  <c r="C823" i="1"/>
  <c r="C825" i="1"/>
  <c r="C824" i="1"/>
  <c r="C236" i="1"/>
  <c r="D653" i="1"/>
  <c r="D269" i="1"/>
  <c r="B702" i="1"/>
  <c r="B718" i="1"/>
  <c r="B795" i="1"/>
  <c r="G441" i="1"/>
  <c r="C534" i="1"/>
  <c r="C359" i="1"/>
  <c r="E627" i="1"/>
  <c r="G315" i="1"/>
  <c r="B411" i="1"/>
  <c r="B550" i="1"/>
  <c r="C669" i="1"/>
  <c r="C477" i="1"/>
  <c r="C765" i="1"/>
  <c r="C585" i="1"/>
  <c r="B684" i="1"/>
  <c r="D774" i="1"/>
  <c r="B743" i="1"/>
  <c r="E204" i="1"/>
  <c r="B256" i="1"/>
  <c r="B756" i="1"/>
  <c r="C427" i="1"/>
  <c r="C476" i="1"/>
  <c r="E295" i="1"/>
  <c r="B742" i="1"/>
  <c r="B464" i="1"/>
  <c r="C610" i="1"/>
  <c r="B572" i="1"/>
  <c r="B500" i="1"/>
  <c r="D283" i="1"/>
  <c r="D385" i="1"/>
  <c r="C343" i="1"/>
  <c r="B792" i="1" l="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<sst xmlns="http://schemas.openxmlformats.org/spreadsheetml/2006/main" count="1130" uniqueCount="869">
  <si>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</si>
  <si>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</si>
  <si>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</si>
  <si>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</si>
  <si>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</si>
  <si>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</si>
  <si>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</si>
  <si>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</si>
  <si>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</si>
  <si>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</si>
  <si>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</si>
  <si>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</si>
  <si>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</si>
  <si>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</si>
  <si>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</si>
  <si>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</si>
  <si>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</si>
  <si>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</si>
  <si>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</si>
  <si>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</si>
  <si>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</si>
  <si>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</si>
  <si>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</si>
  <si>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</si>
  <si>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</si>
  <si>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</si>
  <si>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</si>
  <si>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</si>
  <si>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</si>
  <si>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</si>
  <si>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</si>
  <si>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</si>
  <si>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</si>
  <si>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</si>
  <si>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</si>
  <si>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</si>
  <si>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</si>
  <si>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</si>
  <si>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</si>
  <si>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</si>
  <si>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</si>
  <si>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</si>
  <si>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</si>
  <si>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</si>
  <si>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</si>
  <si>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</si>
  <si>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</si>
  <si>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</si>
  <si>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</si>
  <si>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</si>
  <si>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</si>
  <si>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</si>
  <si>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</si>
  <si>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</si>
  <si>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</si>
  <si>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</si>
  <si>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</si>
  <si>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</si>
  <si>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</si>
  <si>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</si>
  <si>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</si>
  <si>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</si>
  <si>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</si>
  <si>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</si>
  <si>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</si>
  <si>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</si>
  <si>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</si>
  <si>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</si>
  <si>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</si>
  <si>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</si>
  <si>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</si>
  <si>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</si>
  <si>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</si>
  <si>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</si>
  <si>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</si>
  <si>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</si>
  <si>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</si>
  <si>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</si>
  <si>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</si>
  <si>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</si>
  <si>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</si>
  <si>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</si>
  <si>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</si>
  <si>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</si>
  <si>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</si>
  <si>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</si>
  <si>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</si>
  <si>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</si>
  <si>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</si>
  <si>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</si>
  <si>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</si>
  <si>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</si>
  <si>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</si>
  <si>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</si>
  <si>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</si>
  <si>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</si>
  <si>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</si>
  <si>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</si>
  <si>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</si>
  <si>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</si>
  <si>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</si>
  <si>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</si>
  <si>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</si>
  <si>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</si>
  <si>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</si>
  <si>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</si>
  <si>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</si>
  <si>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</si>
  <si>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</si>
  <si>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</si>
  <si>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</si>
  <si>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</si>
  <si>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</si>
  <si>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</si>
  <si>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</si>
  <si>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</si>
  <si>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</si>
  <si>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</si>
  <si>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</si>
  <si>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</si>
  <si>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</si>
  <si>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</si>
  <si>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</si>
  <si>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</si>
  <si>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</si>
  <si>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</si>
  <si>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</si>
  <si>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</si>
  <si>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</si>
  <si>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</si>
  <si>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</si>
  <si>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</si>
  <si>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</si>
  <si>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</si>
  <si>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</si>
  <si>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</si>
  <si>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</si>
  <si>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</si>
  <si>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</si>
  <si>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</si>
  <si>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</si>
  <si>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</si>
  <si>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</si>
  <si>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</si>
  <si>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</si>
  <si>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</si>
  <si>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</si>
  <si>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</si>
  <si>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</si>
  <si>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</si>
  <si>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</si>
  <si>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</si>
  <si>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</si>
  <si>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</si>
  <si>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</si>
  <si>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</si>
  <si>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</si>
  <si>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</si>
  <si>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</si>
  <si>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</si>
  <si>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</si>
  <si>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</si>
  <si>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</si>
  <si>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</si>
  <si>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</si>
  <si>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</si>
  <si>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</si>
  <si>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</si>
  <si>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</si>
  <si>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</si>
  <si>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</si>
  <si>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</si>
  <si>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</si>
  <si>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</si>
  <si>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</si>
  <si>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</si>
  <si>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</si>
  <si>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</si>
  <si>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</si>
  <si>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</si>
  <si>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</si>
  <si>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</si>
  <si>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</si>
  <si>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</si>
  <si>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</si>
  <si>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</si>
  <si>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</si>
  <si>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</si>
  <si>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</si>
  <si>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</si>
  <si>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</si>
  <si>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</si>
  <si>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</si>
  <si>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</si>
  <si>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</si>
  <si>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</si>
  <si>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</si>
  <si>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</si>
  <si>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</si>
  <si>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</si>
  <si>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</si>
  <si>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</si>
  <si>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</si>
  <si>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</si>
  <si>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</si>
  <si>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</si>
  <si>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</si>
  <si>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</si>
  <si>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</si>
  <si>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</si>
  <si>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</si>
  <si>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</si>
  <si>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</si>
  <si>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</si>
  <si>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</si>
  <si>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</si>
  <si>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</si>
  <si>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</si>
  <si>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</si>
  <si>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</si>
  <si>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</si>
  <si>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</si>
  <si>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</si>
  <si>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</si>
  <si>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</si>
  <si>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</si>
  <si>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</si>
  <si>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</si>
  <si>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</si>
  <si>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</si>
  <si>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</si>
  <si>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</si>
  <si>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</si>
  <si>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</si>
  <si>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</si>
  <si>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</si>
  <si>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</si>
  <si>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</si>
  <si>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</si>
  <si>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</si>
  <si>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</si>
  <si>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</si>
  <si>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</si>
  <si>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</si>
  <si>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</si>
  <si>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</si>
  <si>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</si>
  <si>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</si>
  <si>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</si>
  <si>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</si>
  <si>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</si>
  <si>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</si>
  <si>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</si>
  <si>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</si>
  <si>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</si>
  <si>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</si>
  <si>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</si>
  <si>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</si>
  <si>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</si>
  <si>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</si>
  <si>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</si>
  <si>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</si>
  <si>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</si>
  <si>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</si>
  <si>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</si>
  <si>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</si>
  <si>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</si>
  <si>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</si>
  <si>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</si>
  <si>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</si>
  <si>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</si>
  <si>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</si>
  <si>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</si>
  <si>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</si>
  <si>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</si>
  <si>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</si>
  <si>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</si>
  <si>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</si>
  <si>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</si>
  <si>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</si>
  <si>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</si>
  <si>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</si>
  <si>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</si>
  <si>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</si>
  <si>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</si>
  <si>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</si>
  <si>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</si>
  <si>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</si>
  <si>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</si>
  <si>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</si>
  <si>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</si>
  <si>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</si>
  <si>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</si>
  <si>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</si>
  <si>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</si>
  <si>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</si>
  <si>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</si>
  <si>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</si>
  <si>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</si>
  <si>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</si>
  <si>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</si>
  <si>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</si>
  <si>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</si>
  <si>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</si>
  <si>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</si>
  <si>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</si>
  <si>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</si>
  <si>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</si>
  <si>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</si>
  <si>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</si>
  <si>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</si>
  <si>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</si>
  <si>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</si>
  <si>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</si>
  <si>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</si>
  <si>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</si>
  <si>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</si>
  <si>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</si>
  <si>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</si>
  <si>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</si>
  <si>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</si>
  <si>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</si>
  <si>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</si>
  <si>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</si>
  <si>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</si>
  <si>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</si>
  <si>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</si>
  <si>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</si>
  <si>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</si>
  <si>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</si>
  <si>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</si>
  <si>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</si>
  <si>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</si>
  <si>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</si>
  <si>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</si>
  <si>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</si>
  <si>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</si>
  <si>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</si>
  <si>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</si>
  <si>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</si>
  <si>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</si>
  <si>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</si>
  <si>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</si>
  <si>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</si>
  <si>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</si>
  <si>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</si>
  <si>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</si>
  <si>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</si>
  <si>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</si>
  <si>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</si>
  <si>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</si>
  <si>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</si>
  <si>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</si>
  <si>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</si>
  <si>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</si>
  <si>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</si>
  <si>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</si>
  <si>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</si>
  <si>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</si>
  <si>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</si>
  <si>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</si>
  <si>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</si>
  <si>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</si>
  <si>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</si>
  <si>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</si>
  <si>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</si>
  <si>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</si>
  <si>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</si>
  <si>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</si>
  <si>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</si>
  <si>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</si>
  <si>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</si>
  <si>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</si>
  <si>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</si>
  <si>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</si>
  <si>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</si>
  <si>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</si>
  <si>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</si>
  <si>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</si>
  <si>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</si>
  <si>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</si>
  <si>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</si>
  <si>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</si>
  <si>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</si>
  <si>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</si>
  <si>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</si>
  <si>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</si>
  <si>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</si>
  <si>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</si>
  <si>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</si>
  <si>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</si>
  <si>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</si>
  <si>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</si>
  <si>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</si>
  <si>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</si>
  <si>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</si>
  <si>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</si>
  <si>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</si>
  <si>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</si>
  <si>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</si>
  <si>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</si>
  <si>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</si>
  <si>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</si>
  <si>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</si>
  <si>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</si>
  <si>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</si>
  <si>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</si>
  <si>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</si>
  <si>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</si>
  <si>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</si>
  <si>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</si>
  <si>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</si>
  <si>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</si>
  <si>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</si>
  <si>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</si>
  <si>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</si>
  <si>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</si>
  <si>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</si>
  <si>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</si>
  <si>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</si>
  <si>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</si>
  <si>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</si>
  <si>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</si>
  <si>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</si>
  <si>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</si>
  <si>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</si>
  <si>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</si>
  <si>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</si>
  <si>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</si>
  <si>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</si>
  <si>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</si>
  <si>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</si>
  <si>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</si>
  <si>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</si>
  <si>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</si>
  <si>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</si>
  <si>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</si>
  <si>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</si>
  <si>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</si>
  <si>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</si>
  <si>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</si>
  <si>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</si>
  <si>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</si>
  <si>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</si>
  <si>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</si>
  <si>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</si>
  <si>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</si>
  <si>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</si>
  <si>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</si>
  <si>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</si>
  <si>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</si>
  <si>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</si>
  <si>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</si>
  <si>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</si>
  <si>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</si>
  <si>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</si>
  <si>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</si>
  <si>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</si>
  <si>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</si>
  <si>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</si>
  <si>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</si>
  <si>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</si>
  <si>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</si>
  <si>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</si>
  <si>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</si>
  <si>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</si>
  <si>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</si>
  <si>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</si>
  <si>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</si>
  <si>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</si>
  <si>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</si>
  <si>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</si>
  <si>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</si>
  <si>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</si>
  <si>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</si>
  <si>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</si>
  <si>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</si>
  <si>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</si>
  <si>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</si>
  <si>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</si>
  <si>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</si>
  <si>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</si>
  <si>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</si>
  <si>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</si>
  <si>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</si>
  <si>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</si>
  <si>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</si>
  <si>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</si>
  <si>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</si>
  <si>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</si>
  <si>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</si>
  <si>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</si>
  <si>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</si>
  <si>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</si>
  <si>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</si>
  <si>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</si>
  <si>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</si>
  <si>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</si>
  <si>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</si>
  <si>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</si>
  <si>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</si>
  <si>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</si>
  <si>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</si>
  <si>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</si>
  <si>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</si>
  <si>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</si>
  <si>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</si>
  <si>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</si>
  <si>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</si>
  <si>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</si>
  <si>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</si>
  <si>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</si>
  <si>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</si>
  <si>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</si>
  <si>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</si>
  <si>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</si>
  <si>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</si>
  <si>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</si>
  <si>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</si>
  <si>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</si>
  <si>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</si>
  <si>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</si>
  <si>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</si>
  <si>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</si>
  <si>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</si>
  <si>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</si>
  <si>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</si>
  <si>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</si>
  <si>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</si>
  <si>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</si>
  <si>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</si>
  <si>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</si>
  <si>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</si>
  <si>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</si>
  <si>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</si>
  <si>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</si>
  <si>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</si>
  <si>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</si>
  <si>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</si>
  <si>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</si>
  <si>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</si>
  <si>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</si>
  <si>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</si>
  <si>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</si>
  <si>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</si>
  <si>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</si>
  <si>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</si>
  <si>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</si>
  <si>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</si>
  <si>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</si>
  <si>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</si>
  <si>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</si>
  <si>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</si>
  <si>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</si>
  <si>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</si>
  <si>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</si>
  <si>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</si>
  <si>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</si>
  <si>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</si>
  <si>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</si>
  <si>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</si>
  <si>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</si>
  <si>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</si>
  <si>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</si>
  <si>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</si>
  <si>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</si>
  <si>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</si>
  <si>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</si>
  <si>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</si>
  <si>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</si>
  <si>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</si>
  <si>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</si>
  <si>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</si>
  <si>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</si>
  <si>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</si>
  <si>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</si>
  <si>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</si>
  <si>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</si>
  <si>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</si>
  <si>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</si>
  <si>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</si>
  <si>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</si>
  <si>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</si>
  <si>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</si>
  <si>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</si>
  <si>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</si>
  <si>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</si>
  <si>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</si>
  <si>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</si>
  <si>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</si>
  <si>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</si>
  <si>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</si>
  <si>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</si>
  <si>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</si>
  <si>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</si>
  <si>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</si>
  <si>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</si>
  <si>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</si>
  <si>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</si>
  <si>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</si>
  <si>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</si>
  <si>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</si>
  <si>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</si>
  <si>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</si>
  <si>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</si>
  <si>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</si>
  <si>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</si>
  <si>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</si>
  <si>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</si>
  <si>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</si>
  <si>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</si>
  <si>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</si>
  <si>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</si>
  <si>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</si>
  <si>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</si>
  <si>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</si>
  <si>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</si>
  <si>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</si>
  <si>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</si>
  <si>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</si>
  <si>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</si>
  <si>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</si>
  <si>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</si>
  <si>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</si>
  <si>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</si>
  <si>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</si>
  <si>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</si>
  <si>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</si>
  <si>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</si>
  <si>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</si>
  <si>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</si>
  <si>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</si>
  <si>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</si>
  <si>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</si>
  <si>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</si>
  <si>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</si>
  <si>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</si>
  <si>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</si>
  <si>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</si>
  <si>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</si>
  <si>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</si>
  <si>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</si>
  <si>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</si>
  <si>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</si>
  <si>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</si>
  <si>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</si>
  <si>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</si>
  <si>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</si>
  <si>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</si>
  <si>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</si>
  <si>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</si>
  <si>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</si>
  <si>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</si>
  <si>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</si>
  <si>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</si>
  <si>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</si>
  <si>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</si>
  <si>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</si>
  <si>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</si>
  <si>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</si>
  <si>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</si>
  <si>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</si>
  <si>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</si>
  <si>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</si>
  <si>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</si>
  <si>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</si>
  <si>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</si>
  <si>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</si>
  <si>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</si>
  <si>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</si>
  <si>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</si>
  <si>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</si>
  <si>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</si>
  <si>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</si>
  <si>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</si>
  <si>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</si>
  <si>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</si>
  <si>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</si>
  <si>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</si>
  <si>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</si>
  <si>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</si>
  <si>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</si>
  <si>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</si>
  <si>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</si>
  <si>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</si>
  <si>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</si>
  <si>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</si>
  <si>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</si>
  <si>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</si>
  <si>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</si>
  <si>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</si>
  <si>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</si>
  <si>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</si>
  <si>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</si>
  <si>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</si>
  <si>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</si>
  <si>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</si>
  <si>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</si>
  <si>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</si>
  <si>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</si>
  <si>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</si>
  <si>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</si>
  <si>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</si>
  <si>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</si>
  <si>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</si>
  <si>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</si>
  <si>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</si>
  <si>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</si>
  <si>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</si>
  <si>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</si>
  <si>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</si>
  <si>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</si>
  <si>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</si>
  <si>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</si>
  <si>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</si>
  <si>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</si>
  <si>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</si>
  <si>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</si>
  <si>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</si>
  <si>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</si>
  <si>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</si>
  <si>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</si>
  <si>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</si>
  <si>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</si>
  <si>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</si>
  <si>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</si>
  <si>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</si>
  <si>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</si>
  <si>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</si>
  <si>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</si>
  <si>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</si>
  <si>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</si>
  <si>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</si>
  <si>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</si>
  <si>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</si>
  <si>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</si>
  <si>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</si>
  <si>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</si>
  <si>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</si>
  <si>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</si>
  <si>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</si>
  <si>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</si>
  <si>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</si>
  <si>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</si>
  <si>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</si>
  <si>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</si>
  <si>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</si>
  <si>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</si>
  <si>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</si>
  <si>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</si>
  <si>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</si>
  <si>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</si>
  <si>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</si>
  <si>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</si>
  <si>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</si>
  <si>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</si>
  <si>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</si>
  <si>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</si>
  <si>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</si>
  <si>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</si>
  <si>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</si>
  <si>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</si>
  <si>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</si>
  <si>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</si>
  <si>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</si>
  <si>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</si>
  <si>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</si>
  <si>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</si>
  <si>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</si>
  <si>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</si>
  <si>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</si>
  <si>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</si>
  <si>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</si>
  <si>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</si>
  <si>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</si>
  <si>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</si>
  <si>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</si>
  <si>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</si>
  <si>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</si>
  <si>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</si>
  <si>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</si>
  <si>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</si>
  <si>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</si>
  <si>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</si>
  <si>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</si>
  <si>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</si>
  <si>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</si>
  <si>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</si>
  <si>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</si>
  <si>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</si>
  <si>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</si>
  <si>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</si>
  <si>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</si>
  <si>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</si>
  <si>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</si>
  <si>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</si>
  <si>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</si>
  <si>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</si>
  <si>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</si>
  <si>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</si>
  <si>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</si>
  <si>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</si>
  <si>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</si>
  <si>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</si>
  <si>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</si>
  <si>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</si>
  <si>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</si>
  <si>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</si>
  <si>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</si>
  <si>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</si>
  <si>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</si>
  <si>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</si>
  <si>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</si>
  <si>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</si>
  <si>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</si>
  <si>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</si>
  <si>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</si>
  <si>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</si>
  <si>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</si>
  <si>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</si>
  <si>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</si>
  <si>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</si>
  <si>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</si>
  <si>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</si>
  <si>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</si>
  <si>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</si>
  <si>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</si>
  <si>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</si>
  <si>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</si>
  <si>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</si>
  <si>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</si>
  <si>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</si>
  <si>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</si>
  <si>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</si>
  <si>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</si>
  <si>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</si>
  <si>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</si>
  <si>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</si>
  <si>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</si>
  <si>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</si>
  <si>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</si>
  <si>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</si>
  <si>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</si>
  <si>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</si>
  <si>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</si>
  <si>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</si>
  <si>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</si>
  <si>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</si>
  <si>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</si>
  <si>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</si>
  <si>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</si>
  <si>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</si>
  <si>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</si>
  <si>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</si>
  <si>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</si>
  <si>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</si>
  <si>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</si>
  <si>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r>
      <t>AND returns TRUE only when </t>
    </r>
    <r>
      <rPr>
        <i/>
        <sz val="12"/>
        <color rgb="FF000000"/>
        <rFont val="Calibri"/>
        <family val="2"/>
        <scheme val="minor"/>
      </rPr>
      <t>all</t>
    </r>
    <r>
      <rPr>
        <sz val="12"/>
        <color rgb="FF000000"/>
        <rFont val="Calibri"/>
        <family val="2"/>
        <scheme val="minor"/>
      </rPr>
      <t> tests are TRUE. You’ll typically use it inside IF to create a single decision rule.</t>
    </r>
  </si>
  <si>
    <r>
      <t>1. In column </t>
    </r>
    <r>
      <rPr>
        <sz val="12"/>
        <color rgb="FF000000"/>
        <rFont val="Calibri"/>
        <family val="2"/>
        <scheme val="minor"/>
      </rPr>
      <t>E (Decision), return "Approve" only when both of these are true:</t>
    </r>
  </si>
  <si>
    <r>
      <t>Credit score is </t>
    </r>
    <r>
      <rPr>
        <sz val="12"/>
        <color rgb="FF000000"/>
        <rFont val="Calibri"/>
        <family val="2"/>
        <scheme val="minor"/>
      </rPr>
      <t>greater than 700</t>
    </r>
  </si>
  <si>
    <r>
      <t>Annual income is </t>
    </r>
    <r>
      <rPr>
        <sz val="12"/>
        <color rgb="FF000000"/>
        <rFont val="Calibri"/>
        <family val="2"/>
        <scheme val="minor"/>
      </rPr>
      <t>greater than 50,000</t>
    </r>
  </si>
  <si>
    <r>
      <t>2. Otherwise, return </t>
    </r>
    <r>
      <rPr>
        <sz val="12"/>
        <color rgb="FF000000"/>
        <rFont val="Calibri"/>
        <family val="2"/>
        <scheme val="minor"/>
      </rPr>
      <t>"Decline".</t>
    </r>
  </si>
  <si>
    <r>
      <t>3. Write the formula in </t>
    </r>
    <r>
      <rPr>
        <sz val="12"/>
        <color rgb="FF000000"/>
        <rFont val="Calibri"/>
        <family val="2"/>
        <scheme val="minor"/>
      </rPr>
      <t>E2, then fill it down through E11.</t>
    </r>
  </si>
  <si>
    <r>
      <t>In the exercise, we are expecting an error, namely a </t>
    </r>
    <r>
      <rPr>
        <i/>
        <sz val="12"/>
        <color theme="1"/>
        <rFont val="Calibri"/>
        <family val="2"/>
        <scheme val="minor"/>
      </rPr>
      <t>#DIV/0!</t>
    </r>
    <r>
      <rPr>
        <sz val="12"/>
        <color theme="1"/>
        <rFont val="Calibri"/>
        <family val="2"/>
        <scheme val="min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</si>
  <si>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family val="2"/>
        <scheme val="minor"/>
      </rPr>
      <t>Drinks per guest</t>
    </r>
    <r>
      <rPr>
        <sz val="12"/>
        <color theme="1"/>
        <rFont val="Calibri"/>
        <family val="2"/>
        <scheme val="min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</si>
  <si>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family val="2"/>
        <scheme val="minor"/>
      </rPr>
      <t>#DIV/0!</t>
    </r>
    <r>
      <rPr>
        <sz val="12"/>
        <color theme="1"/>
        <rFont val="Calibri"/>
        <family val="2"/>
        <scheme val="minor"/>
      </rPr>
      <t> error.</t>
    </r>
  </si>
  <si>
    <t>1. AGGREGATE function - Has a built-in option to ignore error values</t>
  </si>
  <si>
    <t>2. SUMIF with error checking - Filter out errors before summing</t>
  </si>
  <si>
    <t>3. IFERROR wrapper - Replace each error with 0 before summing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</si>
</sst>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family val="2"/>
      <scheme val="minor"/>
    </font>
    <font>
      <sz val="12"/>
      <color rgb="FF1E1E1E"/>
      <name val="Calibri"/>
      <family val="2"/>
      <scheme val="minor"/>
    </font>
    <font>
      <sz val="12"/>
      <color rgb="FF555555"/>
      <name val="Calibri"/>
      <family val="2"/>
      <scheme val="minor"/>
    </font>
    <font>
      <i/>
      <sz val="12"/>
      <color rgb="FF000000"/>
      <name val="Calibri"/>
      <family val="2"/>
      <scheme val="minor"/>
    </font>
    <font>
      <sz val="12"/>
      <color rgb="FF000000"/>
      <name val="Calibri"/>
      <family val="2"/>
      <scheme val="minor"/>
    </font>
    <font>
      <i/>
      <sz val="12"/>
      <color rgb="FF444444"/>
      <name val="Calibri"/>
      <family val="2"/>
      <scheme val="minor"/>
    </font>
    <font>
      <i/>
      <sz val="12"/>
      <color theme="1"/>
      <name val="Calibri"/>
      <family val="2"/>
      <scheme val="minor"/>
    </font>
    <font>
      <sz val="12"/>
      <color rgb="FF6B7280"/>
      <name val="Calibri"/>
      <family val="2"/>
      <scheme val="minor"/>
    </font>
  </fonts>
  <fills count="28">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s>
  <borders count="1">
    <border>
      <left/>
      <right/>
      <top/>
      <bottom/>
      <diagonal/>
    </border>
  </borders>
  <cellStyleXfs count="1">
    <xf numFmtId="0" fontId="0" fillId="0" borderId="0"/>
  </cellStyleXfs>
  <cellXfs count="67">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17"/>
  <sheetViews>
    <sheetView tabSelected="1" topLeftCell="A812" zoomScale="85" zoomScaleNormal="85" workbookViewId="0">
      <selection activeCell="A845" sqref="A845"/>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202.8"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93.6"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93.6"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8"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62.4"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24.8"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40.4"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202.8"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93.6"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56"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8"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ht="31.2"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ht="31.2" x14ac:dyDescent="0.3">
      <c r="A175" s="8" t="s">
        <v>183</v>
      </c>
      <c r="B175" s="9" t="s">
        <v>184</v>
      </c>
      <c r="C175" s="8" t="s">
        <v>185</v>
      </c>
      <c r="D175" s="9" t="s">
        <v>185</v>
      </c>
    </row>
    <row r="176" spans="1:4" x14ac:dyDescent="0.3">
      <c r="A176" s="8" t="s">
        <v>186</v>
      </c>
      <c r="B176" s="9" t="s">
        <v>187</v>
      </c>
      <c r="C176" s="8" t="s">
        <v>188</v>
      </c>
      <c r="D176" s="9" t="s">
        <v>188</v>
      </c>
    </row>
    <row r="177" spans="1:4" ht="31.2"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9.2"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31.2"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93.6"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9.2"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8" x14ac:dyDescent="0.3">
      <c r="A224" s="5" t="s">
        <v>253</v>
      </c>
    </row>
    <row r="225" spans="1:3" ht="109.2"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8"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62.4"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8"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ht="31.2"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8" x14ac:dyDescent="0.3">
      <c r="A414" s="5" t="s">
        <v>440</v>
      </c>
    </row>
    <row r="416" spans="1:4" ht="78"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93.6" x14ac:dyDescent="0.3">
      <c r="A430" s="37" t="s">
        <v>477</v>
      </c>
    </row>
    <row r="431" spans="1:7" ht="93.6"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ht="31.2"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ht="31.2" x14ac:dyDescent="0.3">
      <c r="A442" s="8" t="s">
        <v>479</v>
      </c>
    </row>
    <row r="443" spans="1:7" x14ac:dyDescent="0.3">
      <c r="A443" s="21"/>
    </row>
    <row r="444" spans="1:7" ht="31.2"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6.8" x14ac:dyDescent="0.3">
      <c r="A467" s="8" t="s">
        <v>507</v>
      </c>
      <c r="B467" s="8"/>
      <c r="C467" s="8"/>
      <c r="D467" s="8"/>
      <c r="E467" s="8"/>
      <c r="F467" s="8"/>
      <c r="G467" s="8"/>
      <c r="H467" s="8"/>
    </row>
    <row r="468" spans="1:8" ht="62.4"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56" x14ac:dyDescent="0.3">
      <c r="A481" s="8" t="s">
        <v>546</v>
      </c>
      <c r="B481" s="8"/>
      <c r="C481" s="8"/>
      <c r="D481" s="8"/>
      <c r="E481" s="8"/>
      <c r="F481" s="8"/>
      <c r="G481" s="8"/>
      <c r="H481" s="8"/>
    </row>
    <row r="482" spans="1:8" ht="62.4"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ht="31.2"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ht="31.2" x14ac:dyDescent="0.3">
      <c r="A531" s="8" t="s">
        <v>587</v>
      </c>
      <c r="B531" s="8" t="s">
        <v>560</v>
      </c>
      <c r="C531" s="9" t="str">
        <f t="shared" ref="C531:C532" si="19">INDEX(A521:A528,MATCH(B531,B521:B528,0))</f>
        <v>bianca.chen@northwind.com</v>
      </c>
      <c r="D531" s="8" t="s">
        <v>588</v>
      </c>
    </row>
    <row r="532" spans="1:5" s="8" customFormat="1" ht="31.2" x14ac:dyDescent="0.3">
      <c r="A532" s="8" t="s">
        <v>589</v>
      </c>
      <c r="B532" s="8" t="s">
        <v>563</v>
      </c>
      <c r="C532" s="9" t="str">
        <f t="shared" si="19"/>
        <v>diego.souza@northwind.com</v>
      </c>
      <c r="D532" s="8" t="s">
        <v>590</v>
      </c>
    </row>
    <row r="533" spans="1:5" s="8" customFormat="1" x14ac:dyDescent="0.3"/>
    <row r="534" spans="1:5" s="8" customFormat="1" ht="31.2" x14ac:dyDescent="0.3">
      <c r="C534" s="8" t="str">
        <f ca="1">_xlfn.FORMULATEXT(C530)</f>
        <v>=INDEX(A520:A527,MATCH(B530,B520:B527,0))</v>
      </c>
    </row>
    <row r="536" spans="1:5" x14ac:dyDescent="0.3">
      <c r="A536" s="23" t="s">
        <v>596</v>
      </c>
    </row>
    <row r="537" spans="1:5" ht="140.4"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78" x14ac:dyDescent="0.3">
      <c r="A577" s="5" t="s">
        <v>625</v>
      </c>
    </row>
    <row r="578" spans="1:7" s="5" customFormat="1" ht="93.6" x14ac:dyDescent="0.3">
      <c r="A578" s="5" t="s">
        <v>626</v>
      </c>
    </row>
    <row r="579" spans="1:7" s="5" customFormat="1" x14ac:dyDescent="0.3"/>
    <row r="580" spans="1:7" s="5" customFormat="1" x14ac:dyDescent="0.3">
      <c r="A580" s="47" t="s">
        <v>627</v>
      </c>
    </row>
    <row r="581" spans="1:7" s="5" customFormat="1" ht="31.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ht="31.2"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71.6"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857</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858</v>
      </c>
      <c r="B635" s="5"/>
      <c r="C635" s="5"/>
      <c r="D635" s="5"/>
      <c r="E635" s="5"/>
      <c r="F635" s="5"/>
      <c r="G635" s="5"/>
    </row>
    <row r="636" spans="1:7" x14ac:dyDescent="0.3">
      <c r="A636" s="5" t="s">
        <v>859</v>
      </c>
      <c r="B636" s="5"/>
      <c r="C636" s="5"/>
      <c r="D636" s="5"/>
      <c r="E636" s="5"/>
      <c r="F636" s="5"/>
      <c r="G636" s="5"/>
    </row>
    <row r="637" spans="1:7" x14ac:dyDescent="0.3">
      <c r="A637" s="5" t="s">
        <v>860</v>
      </c>
      <c r="B637" s="5"/>
      <c r="C637" s="5"/>
      <c r="D637" s="5"/>
      <c r="E637" s="5"/>
      <c r="F637" s="5"/>
      <c r="G637" s="5"/>
    </row>
    <row r="638" spans="1:7" x14ac:dyDescent="0.3">
      <c r="A638" s="5" t="s">
        <v>861</v>
      </c>
      <c r="B638" s="5"/>
      <c r="C638" s="5"/>
      <c r="D638" s="5"/>
      <c r="E638" s="5"/>
      <c r="F638" s="5"/>
      <c r="G638" s="5"/>
    </row>
    <row r="639" spans="1:7" x14ac:dyDescent="0.3">
      <c r="A639" s="5" t="s">
        <v>862</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56"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56"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87.2" x14ac:dyDescent="0.3">
      <c r="A705" s="8" t="s">
        <v>742</v>
      </c>
    </row>
    <row r="706" spans="1:9" s="5" customFormat="1" ht="109.2"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40.4" x14ac:dyDescent="0.3">
      <c r="A721" s="8" t="s">
        <v>762</v>
      </c>
      <c r="B721" s="8"/>
      <c r="C721" s="8"/>
      <c r="D721" s="8"/>
      <c r="E721" s="8"/>
      <c r="F721" s="8"/>
      <c r="G721" s="8"/>
      <c r="H721" s="8"/>
      <c r="I721" s="8"/>
    </row>
    <row r="722" spans="1:9" s="5" customFormat="1" ht="124.8"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31.2" x14ac:dyDescent="0.3">
      <c r="A747" s="8" t="s">
        <v>863</v>
      </c>
    </row>
    <row r="748" spans="1:9" ht="31.2" x14ac:dyDescent="0.3">
      <c r="A748" s="8" t="s">
        <v>864</v>
      </c>
    </row>
    <row r="749" spans="1:9" x14ac:dyDescent="0.3">
      <c r="A749" s="8" t="s">
        <v>865</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87.2" x14ac:dyDescent="0.3">
      <c r="A759" s="8" t="s">
        <v>795</v>
      </c>
    </row>
    <row r="760" spans="1:3" ht="234"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87.2" x14ac:dyDescent="0.3">
      <c r="A768" s="8" t="s">
        <v>801</v>
      </c>
    </row>
    <row r="769" spans="1:5" x14ac:dyDescent="0.3">
      <c r="A769" s="8"/>
    </row>
    <row r="770" spans="1:5" x14ac:dyDescent="0.3">
      <c r="A770" s="8"/>
      <c r="B770" s="8" t="s">
        <v>30</v>
      </c>
      <c r="C770" s="8" t="s">
        <v>802</v>
      </c>
      <c r="D770" s="8" t="s">
        <v>803</v>
      </c>
    </row>
    <row r="771" spans="1:5" x14ac:dyDescent="0.3">
      <c r="A771" s="8" t="s">
        <v>804</v>
      </c>
      <c r="B771" s="8" t="e">
        <v>#DIV/0!</v>
      </c>
      <c r="C771" s="8" t="b">
        <v>1</v>
      </c>
      <c r="D771" s="9" t="b">
        <f>NOT(ISERROR(B771))</f>
        <v>0</v>
      </c>
    </row>
    <row r="772" spans="1:5" x14ac:dyDescent="0.3">
      <c r="A772" s="8" t="s">
        <v>805</v>
      </c>
      <c r="B772" s="8" t="s">
        <v>805</v>
      </c>
      <c r="C772" s="8" t="b">
        <v>0</v>
      </c>
      <c r="D772" s="9" t="b">
        <f>NOT(ISERROR(B772))</f>
        <v>1</v>
      </c>
    </row>
    <row r="773" spans="1:5" x14ac:dyDescent="0.3">
      <c r="A773" s="8"/>
    </row>
    <row r="774" spans="1:5" x14ac:dyDescent="0.3">
      <c r="A774" s="8"/>
      <c r="D774" s="2" t="str">
        <f ca="1">_xlfn.FORMULATEXT(D771)</f>
        <v>=NOT(ISERROR(B771))</v>
      </c>
    </row>
    <row r="775" spans="1:5" x14ac:dyDescent="0.3">
      <c r="A775" s="8"/>
    </row>
    <row r="776" spans="1:5" x14ac:dyDescent="0.3">
      <c r="A776" s="23" t="s">
        <v>806</v>
      </c>
    </row>
    <row r="777" spans="1:5" ht="31.2" x14ac:dyDescent="0.3">
      <c r="A777" s="8" t="s">
        <v>807</v>
      </c>
    </row>
    <row r="778" spans="1:5" x14ac:dyDescent="0.3">
      <c r="A778" s="8"/>
    </row>
    <row r="779" spans="1:5" ht="31.2" x14ac:dyDescent="0.3">
      <c r="A779" s="8" t="s">
        <v>808</v>
      </c>
    </row>
    <row r="780" spans="1:5" x14ac:dyDescent="0.3">
      <c r="A780" s="8"/>
    </row>
    <row r="781" spans="1:5" ht="46.8" x14ac:dyDescent="0.3">
      <c r="A781" s="8" t="s">
        <v>826</v>
      </c>
    </row>
    <row r="782" spans="1:5" x14ac:dyDescent="0.3">
      <c r="A782" s="8"/>
    </row>
    <row r="783" spans="1:5" x14ac:dyDescent="0.3">
      <c r="A783" s="62" t="s">
        <v>362</v>
      </c>
      <c r="B783" s="62" t="s">
        <v>809</v>
      </c>
      <c r="C783" s="62" t="s">
        <v>810</v>
      </c>
      <c r="D783" s="62" t="s">
        <v>811</v>
      </c>
      <c r="E783" s="8"/>
    </row>
    <row r="784" spans="1:5" x14ac:dyDescent="0.3">
      <c r="A784" s="8" t="s">
        <v>812</v>
      </c>
      <c r="B784" s="8">
        <v>10000</v>
      </c>
      <c r="C784" s="8">
        <v>10000</v>
      </c>
      <c r="D784" s="8"/>
      <c r="E784" s="8"/>
    </row>
    <row r="785" spans="1:5" x14ac:dyDescent="0.3">
      <c r="A785" s="8" t="s">
        <v>813</v>
      </c>
      <c r="B785" s="8">
        <v>620</v>
      </c>
      <c r="C785" s="8">
        <v>710</v>
      </c>
      <c r="D785" s="8"/>
      <c r="E785" s="8"/>
    </row>
    <row r="786" spans="1:5" x14ac:dyDescent="0.3">
      <c r="A786" s="8" t="s">
        <v>814</v>
      </c>
      <c r="B786" s="9">
        <f>B785/B784</f>
        <v>6.2E-2</v>
      </c>
      <c r="C786" s="9">
        <f>C785/C784</f>
        <v>7.0999999999999994E-2</v>
      </c>
      <c r="D786" s="8"/>
      <c r="E786" s="8"/>
    </row>
    <row r="787" spans="1:5" x14ac:dyDescent="0.3">
      <c r="A787" s="8" t="s">
        <v>815</v>
      </c>
      <c r="B787" s="63">
        <f>SQRT(B786*(1-B786)/B784)</f>
        <v>2.411555514600483E-3</v>
      </c>
      <c r="C787" s="9">
        <f>SQRT(C786*(1-C786)/C784)</f>
        <v>2.5682484303509272E-3</v>
      </c>
      <c r="D787" s="64" t="s">
        <v>816</v>
      </c>
      <c r="E787" s="8"/>
    </row>
    <row r="788" spans="1:5" x14ac:dyDescent="0.3">
      <c r="A788" s="8"/>
      <c r="B788" s="8"/>
      <c r="C788" s="8"/>
      <c r="D788" s="8"/>
      <c r="E788" s="8"/>
    </row>
    <row r="789" spans="1:5" x14ac:dyDescent="0.3">
      <c r="A789" s="62" t="s">
        <v>817</v>
      </c>
      <c r="B789" s="62"/>
      <c r="C789" s="62" t="s">
        <v>811</v>
      </c>
      <c r="D789" s="8"/>
      <c r="E789" s="8"/>
    </row>
    <row r="790" spans="1:5" x14ac:dyDescent="0.3">
      <c r="A790" s="8" t="s">
        <v>818</v>
      </c>
      <c r="B790" s="9">
        <f>(C786-B786)/B786</f>
        <v>0.14516129032258054</v>
      </c>
      <c r="C790" s="64" t="s">
        <v>819</v>
      </c>
      <c r="D790" s="8"/>
      <c r="E790" s="8"/>
    </row>
    <row r="791" spans="1:5" x14ac:dyDescent="0.3">
      <c r="A791" s="8" t="s">
        <v>820</v>
      </c>
      <c r="B791" s="9">
        <f>SQRT(((B785+C785)/(B784+C784))*(1-((B785+C785)/(B784+C784)))*(1/B784+1/C784))</f>
        <v>3.5235706321854825E-3</v>
      </c>
      <c r="C791" s="64" t="s">
        <v>821</v>
      </c>
      <c r="D791" s="8"/>
      <c r="E791" s="8"/>
    </row>
    <row r="792" spans="1:5" x14ac:dyDescent="0.3">
      <c r="A792" s="8" t="s">
        <v>822</v>
      </c>
      <c r="B792" s="9">
        <f>(C786-B786)/B791</f>
        <v>2.554227214232903</v>
      </c>
      <c r="C792" s="64" t="s">
        <v>823</v>
      </c>
      <c r="D792" s="8"/>
      <c r="E792" s="8"/>
    </row>
    <row r="793" spans="1:5" x14ac:dyDescent="0.3">
      <c r="A793" s="8" t="s">
        <v>824</v>
      </c>
      <c r="B793" s="9" t="str">
        <f>IF(ABS(B792)&gt;1.96,"Yes","No")</f>
        <v>Yes</v>
      </c>
      <c r="C793" s="64" t="s">
        <v>825</v>
      </c>
      <c r="D793" s="8"/>
      <c r="E793" s="8"/>
    </row>
    <row r="794" spans="1:5" x14ac:dyDescent="0.3">
      <c r="A794" s="8"/>
    </row>
    <row r="795" spans="1:5" x14ac:dyDescent="0.3">
      <c r="A795" s="8"/>
      <c r="B795" s="3" t="str">
        <f ca="1">_xlfn.FORMULATEXT(B787)</f>
        <v>=SQRT(B786*(1-B786)/B784)</v>
      </c>
    </row>
    <row r="796" spans="1:5" x14ac:dyDescent="0.3">
      <c r="A796" s="8"/>
    </row>
    <row r="797" spans="1:5" x14ac:dyDescent="0.3">
      <c r="A797" s="23" t="s">
        <v>827</v>
      </c>
    </row>
    <row r="798" spans="1:5" ht="31.2" x14ac:dyDescent="0.3">
      <c r="A798" s="8" t="s">
        <v>828</v>
      </c>
    </row>
    <row r="799" spans="1:5" x14ac:dyDescent="0.3">
      <c r="A799" s="8"/>
    </row>
    <row r="800" spans="1:5" ht="46.8" x14ac:dyDescent="0.3">
      <c r="A800" s="8" t="s">
        <v>834</v>
      </c>
    </row>
    <row r="801" spans="1:3" x14ac:dyDescent="0.3">
      <c r="A801" s="8" t="s">
        <v>829</v>
      </c>
    </row>
    <row r="802" spans="1:3" x14ac:dyDescent="0.3">
      <c r="A802" s="8" t="s">
        <v>832</v>
      </c>
    </row>
    <row r="803" spans="1:3" x14ac:dyDescent="0.3">
      <c r="A803" s="8" t="s">
        <v>830</v>
      </c>
    </row>
    <row r="804" spans="1:3" x14ac:dyDescent="0.3">
      <c r="A804" s="8" t="s">
        <v>835</v>
      </c>
    </row>
    <row r="805" spans="1:3" x14ac:dyDescent="0.3">
      <c r="A805" s="8" t="s">
        <v>836</v>
      </c>
    </row>
    <row r="806" spans="1:3" x14ac:dyDescent="0.3">
      <c r="A806" s="8" t="s">
        <v>837</v>
      </c>
    </row>
    <row r="807" spans="1:3" x14ac:dyDescent="0.3">
      <c r="A807" s="8" t="s">
        <v>831</v>
      </c>
    </row>
    <row r="808" spans="1:3" x14ac:dyDescent="0.3">
      <c r="A808" s="8" t="s">
        <v>833</v>
      </c>
    </row>
    <row r="809" spans="1:3" x14ac:dyDescent="0.3">
      <c r="A809" s="8"/>
    </row>
    <row r="810" spans="1:3" x14ac:dyDescent="0.3">
      <c r="A810" s="11" t="s">
        <v>73</v>
      </c>
      <c r="B810" s="11" t="s">
        <v>838</v>
      </c>
      <c r="C810" s="11" t="s">
        <v>839</v>
      </c>
    </row>
    <row r="811" spans="1:3" x14ac:dyDescent="0.3">
      <c r="A811" s="8" t="s">
        <v>75</v>
      </c>
      <c r="B811" s="8">
        <v>50</v>
      </c>
      <c r="C811" s="8">
        <v>24</v>
      </c>
    </row>
    <row r="812" spans="1:3" x14ac:dyDescent="0.3">
      <c r="A812" s="8" t="s">
        <v>76</v>
      </c>
      <c r="B812" s="8">
        <v>60</v>
      </c>
      <c r="C812" s="8">
        <v>20</v>
      </c>
    </row>
    <row r="813" spans="1:3" x14ac:dyDescent="0.3">
      <c r="A813" s="8" t="s">
        <v>77</v>
      </c>
      <c r="B813" s="8">
        <v>0</v>
      </c>
      <c r="C813" s="8" t="e">
        <v>#DIV/0!</v>
      </c>
    </row>
    <row r="814" spans="1:3" x14ac:dyDescent="0.3">
      <c r="A814" s="8" t="s">
        <v>78</v>
      </c>
      <c r="B814" s="8">
        <v>40</v>
      </c>
      <c r="C814" s="8">
        <v>30</v>
      </c>
    </row>
    <row r="815" spans="1:3" x14ac:dyDescent="0.3">
      <c r="A815" s="8" t="s">
        <v>79</v>
      </c>
      <c r="B815" s="8">
        <v>80</v>
      </c>
      <c r="C815" s="8">
        <v>15</v>
      </c>
    </row>
    <row r="816" spans="1:3" x14ac:dyDescent="0.3">
      <c r="A816" s="8" t="s">
        <v>80</v>
      </c>
      <c r="B816" s="8">
        <v>0</v>
      </c>
      <c r="C816" s="8" t="e">
        <v>#DIV/0!</v>
      </c>
    </row>
    <row r="817" spans="1:3" x14ac:dyDescent="0.3">
      <c r="A817" s="8" t="s">
        <v>81</v>
      </c>
      <c r="B817" s="8" t="s">
        <v>840</v>
      </c>
      <c r="C817" s="8" t="e">
        <v>#VALUE!</v>
      </c>
    </row>
    <row r="818" spans="1:3" x14ac:dyDescent="0.3">
      <c r="A818" s="8" t="s">
        <v>82</v>
      </c>
      <c r="B818" s="8">
        <v>30</v>
      </c>
      <c r="C818" s="8">
        <v>40</v>
      </c>
    </row>
    <row r="819" spans="1:3" x14ac:dyDescent="0.3">
      <c r="A819" s="8" t="s">
        <v>841</v>
      </c>
      <c r="B819" s="8">
        <v>100</v>
      </c>
      <c r="C819" s="8">
        <v>12</v>
      </c>
    </row>
    <row r="820" spans="1:3" x14ac:dyDescent="0.3">
      <c r="A820" s="8" t="s">
        <v>842</v>
      </c>
      <c r="B820" s="8">
        <v>75</v>
      </c>
      <c r="C820" s="8">
        <v>16</v>
      </c>
    </row>
    <row r="821" spans="1:3" x14ac:dyDescent="0.3">
      <c r="A821" s="8" t="s">
        <v>843</v>
      </c>
      <c r="B821" s="8">
        <v>25</v>
      </c>
      <c r="C821" s="8">
        <v>48</v>
      </c>
    </row>
    <row r="822" spans="1:3" x14ac:dyDescent="0.3">
      <c r="A822" s="8"/>
      <c r="B822" s="8"/>
      <c r="C822" s="8"/>
    </row>
    <row r="823" spans="1:3" x14ac:dyDescent="0.3">
      <c r="A823" s="8" t="s">
        <v>844</v>
      </c>
      <c r="B823" s="9" t="e">
        <f>AVERAGE(C811:C821)</f>
        <v>#DIV/0!</v>
      </c>
      <c r="C823" s="8" t="str">
        <f ca="1">_xlfn.FORMULATEXT(B823)</f>
        <v>=AVERAGE(C811:C821)</v>
      </c>
    </row>
    <row r="824" spans="1:3" x14ac:dyDescent="0.3">
      <c r="A824" s="8" t="s">
        <v>845</v>
      </c>
      <c r="B824" s="9">
        <f>_xlfn.AGGREGATE(1,6,C811:C821)</f>
        <v>25.625</v>
      </c>
      <c r="C824" s="8" t="str">
        <f ca="1">_xlfn.FORMULATEXT(B824)</f>
        <v>=AGGREGATE(1,6,C811:C821)</v>
      </c>
    </row>
    <row r="825" spans="1:3" x14ac:dyDescent="0.3">
      <c r="A825" s="8" t="s">
        <v>846</v>
      </c>
      <c r="B825" s="9">
        <f>_xlfn.AGGREGATE(2,6,C811:C821)</f>
        <v>8</v>
      </c>
      <c r="C825" s="8" t="str">
        <f ca="1">_xlfn.FORMULATEXT(B825)</f>
        <v>=AGGREGATE(2,6,C811:C821)</v>
      </c>
    </row>
    <row r="826" spans="1:3" x14ac:dyDescent="0.3">
      <c r="A826" s="8"/>
    </row>
    <row r="827" spans="1:3" x14ac:dyDescent="0.3">
      <c r="A827" s="23" t="s">
        <v>847</v>
      </c>
    </row>
    <row r="828" spans="1:3" ht="31.2" x14ac:dyDescent="0.3">
      <c r="A828" s="8" t="s">
        <v>848</v>
      </c>
    </row>
    <row r="829" spans="1:3" x14ac:dyDescent="0.3">
      <c r="A829" s="8"/>
    </row>
    <row r="830" spans="1:3" x14ac:dyDescent="0.3">
      <c r="A830" s="8" t="s">
        <v>849</v>
      </c>
    </row>
    <row r="831" spans="1:3" x14ac:dyDescent="0.3">
      <c r="A831" s="8"/>
    </row>
    <row r="832" spans="1:3" x14ac:dyDescent="0.3">
      <c r="A832" s="8" t="s">
        <v>866</v>
      </c>
    </row>
    <row r="833" spans="1:5" x14ac:dyDescent="0.3">
      <c r="A833" s="8" t="s">
        <v>867</v>
      </c>
    </row>
    <row r="834" spans="1:5" x14ac:dyDescent="0.3">
      <c r="A834" s="8" t="s">
        <v>868</v>
      </c>
    </row>
    <row r="835" spans="1:5" x14ac:dyDescent="0.3">
      <c r="A835" s="8"/>
    </row>
    <row r="836" spans="1:5" ht="31.2" x14ac:dyDescent="0.3">
      <c r="A836" s="8" t="s">
        <v>850</v>
      </c>
    </row>
    <row r="837" spans="1:5" ht="156" x14ac:dyDescent="0.3">
      <c r="A837" s="8" t="s">
        <v>851</v>
      </c>
    </row>
    <row r="838" spans="1:5" x14ac:dyDescent="0.3">
      <c r="A838" s="8"/>
    </row>
    <row r="839" spans="1:5" x14ac:dyDescent="0.3">
      <c r="A839" s="11" t="s">
        <v>46</v>
      </c>
      <c r="B839" s="11" t="s">
        <v>852</v>
      </c>
      <c r="C839" s="65" t="s">
        <v>853</v>
      </c>
      <c r="D839" s="11" t="s">
        <v>854</v>
      </c>
      <c r="E839" s="11" t="s">
        <v>855</v>
      </c>
    </row>
    <row r="840" spans="1:5" x14ac:dyDescent="0.3">
      <c r="A840" s="8" t="s">
        <v>614</v>
      </c>
      <c r="B840" s="8">
        <v>1200</v>
      </c>
      <c r="C840" s="66">
        <v>1450</v>
      </c>
      <c r="D840" s="8" t="e">
        <v>#N/A</v>
      </c>
      <c r="E840" s="8">
        <v>1600</v>
      </c>
    </row>
    <row r="841" spans="1:5" x14ac:dyDescent="0.3">
      <c r="A841" s="8" t="s">
        <v>615</v>
      </c>
      <c r="B841" s="8">
        <v>850</v>
      </c>
      <c r="C841" s="66" t="e">
        <v>#N/A</v>
      </c>
      <c r="D841" s="8">
        <v>920</v>
      </c>
      <c r="E841" s="8">
        <v>1100</v>
      </c>
    </row>
    <row r="842" spans="1:5" x14ac:dyDescent="0.3">
      <c r="A842" s="8" t="s">
        <v>617</v>
      </c>
      <c r="B842" s="8">
        <v>2100</v>
      </c>
      <c r="C842" s="66">
        <v>2300</v>
      </c>
      <c r="D842" s="8">
        <v>2150</v>
      </c>
      <c r="E842" s="8" t="e">
        <v>#N/A</v>
      </c>
    </row>
    <row r="843" spans="1:5" x14ac:dyDescent="0.3">
      <c r="A843" s="8" t="s">
        <v>618</v>
      </c>
      <c r="B843" s="8">
        <v>1500</v>
      </c>
      <c r="C843" s="66">
        <v>1650</v>
      </c>
      <c r="D843" s="8">
        <v>1800</v>
      </c>
      <c r="E843" s="8">
        <v>1950</v>
      </c>
    </row>
    <row r="844" spans="1:5" x14ac:dyDescent="0.3">
      <c r="A844" s="8" t="s">
        <v>620</v>
      </c>
      <c r="B844" s="8" t="e">
        <v>#N/A</v>
      </c>
      <c r="C844" s="66">
        <v>780</v>
      </c>
      <c r="D844" s="8">
        <v>850</v>
      </c>
      <c r="E844" s="8">
        <v>920</v>
      </c>
    </row>
    <row r="845" spans="1:5" x14ac:dyDescent="0.3">
      <c r="A845" s="8"/>
      <c r="B845" s="8"/>
      <c r="C845" s="8"/>
      <c r="D845" s="8"/>
      <c r="E845" s="8"/>
    </row>
    <row r="846" spans="1:5" x14ac:dyDescent="0.3">
      <c r="A846" s="8" t="s">
        <v>856</v>
      </c>
      <c r="B846" s="8"/>
      <c r="C846" s="29">
        <f>_xlfn.AGGREGATE(9,6,C840:C844)</f>
        <v>6180</v>
      </c>
      <c r="D846" s="8"/>
      <c r="E846" s="8"/>
    </row>
    <row r="847" spans="1:5" x14ac:dyDescent="0.3">
      <c r="A847" s="8"/>
      <c r="B847" s="8"/>
      <c r="C847" s="8" t="str">
        <f ca="1">_xlfn.FORMULATEXT(C846)</f>
        <v>=AGGREGATE(9,6,C840:C844)</v>
      </c>
      <c r="D847" s="8"/>
      <c r="E847" s="8"/>
    </row>
    <row r="848" spans="1:5" x14ac:dyDescent="0.3">
      <c r="A848" s="8"/>
    </row>
    <row r="849" spans="1:1" x14ac:dyDescent="0.3">
      <c r="A849" s="8"/>
    </row>
    <row r="850" spans="1:1" x14ac:dyDescent="0.3">
      <c r="A850" s="8"/>
    </row>
    <row r="851" spans="1:1" x14ac:dyDescent="0.3">
      <c r="A851" s="8"/>
    </row>
    <row r="852" spans="1:1" x14ac:dyDescent="0.3">
      <c r="A852" s="8"/>
    </row>
    <row r="853" spans="1:1" x14ac:dyDescent="0.3">
      <c r="A853" s="8"/>
    </row>
    <row r="854" spans="1:1" x14ac:dyDescent="0.3">
      <c r="A854" s="8"/>
    </row>
    <row r="855" spans="1:1" x14ac:dyDescent="0.3">
      <c r="A855" s="8"/>
    </row>
    <row r="856" spans="1:1" x14ac:dyDescent="0.3">
      <c r="A856" s="8"/>
    </row>
    <row r="857" spans="1:1" x14ac:dyDescent="0.3">
      <c r="A857" s="8"/>
    </row>
    <row r="858" spans="1:1" x14ac:dyDescent="0.3">
      <c r="A858" s="8"/>
    </row>
    <row r="859" spans="1:1" x14ac:dyDescent="0.3">
      <c r="A859" s="8"/>
    </row>
    <row r="860" spans="1:1" x14ac:dyDescent="0.3">
      <c r="A860" s="8"/>
    </row>
    <row r="861" spans="1:1" x14ac:dyDescent="0.3">
      <c r="A861" s="8"/>
    </row>
    <row r="862" spans="1:1" x14ac:dyDescent="0.3">
      <c r="A862" s="8"/>
    </row>
    <row r="863" spans="1:1" x14ac:dyDescent="0.3">
      <c r="A863" s="8"/>
    </row>
    <row r="864" spans="1:1" x14ac:dyDescent="0.3">
      <c r="A864" s="8"/>
    </row>
    <row r="865" spans="1:1" x14ac:dyDescent="0.3">
      <c r="A865" s="8"/>
    </row>
    <row r="866" spans="1:1" x14ac:dyDescent="0.3">
      <c r="A866" s="8"/>
    </row>
    <row r="867" spans="1:1" x14ac:dyDescent="0.3">
      <c r="A867" s="8"/>
    </row>
    <row r="868" spans="1:1" x14ac:dyDescent="0.3">
      <c r="A868" s="8"/>
    </row>
    <row r="869" spans="1:1" x14ac:dyDescent="0.3">
      <c r="A869" s="8"/>
    </row>
    <row r="870" spans="1:1" x14ac:dyDescent="0.3">
      <c r="A870" s="8"/>
    </row>
    <row r="871" spans="1:1" x14ac:dyDescent="0.3">
      <c r="A871" s="8"/>
    </row>
    <row r="872" spans="1:1" x14ac:dyDescent="0.3">
      <c r="A872" s="8"/>
    </row>
    <row r="873" spans="1:1" x14ac:dyDescent="0.3">
      <c r="A873" s="8"/>
    </row>
    <row r="874" spans="1:1" x14ac:dyDescent="0.3">
      <c r="A874" s="8"/>
    </row>
    <row r="875" spans="1:1" x14ac:dyDescent="0.3">
      <c r="A875" s="8"/>
    </row>
    <row r="876" spans="1:1" x14ac:dyDescent="0.3">
      <c r="A876" s="8"/>
    </row>
    <row r="877" spans="1:1" x14ac:dyDescent="0.3">
      <c r="A877" s="8"/>
    </row>
    <row r="878" spans="1:1" x14ac:dyDescent="0.3">
      <c r="A878" s="8"/>
    </row>
    <row r="879" spans="1:1" x14ac:dyDescent="0.3">
      <c r="A879" s="8"/>
    </row>
    <row r="880" spans="1:1" x14ac:dyDescent="0.3">
      <c r="A880" s="8"/>
    </row>
    <row r="881" spans="1:1" x14ac:dyDescent="0.3">
      <c r="A881" s="8"/>
    </row>
    <row r="882" spans="1:1" x14ac:dyDescent="0.3">
      <c r="A882" s="8"/>
    </row>
    <row r="883" spans="1:1" x14ac:dyDescent="0.3">
      <c r="A883" s="8"/>
    </row>
    <row r="884" spans="1:1" x14ac:dyDescent="0.3">
      <c r="A884" s="8"/>
    </row>
    <row r="885" spans="1:1" x14ac:dyDescent="0.3">
      <c r="A885" s="8"/>
    </row>
    <row r="886" spans="1:1" x14ac:dyDescent="0.3">
      <c r="A886" s="8"/>
    </row>
    <row r="887" spans="1:1" x14ac:dyDescent="0.3">
      <c r="A887" s="8"/>
    </row>
    <row r="888" spans="1:1" x14ac:dyDescent="0.3">
      <c r="A888" s="8"/>
    </row>
    <row r="889" spans="1:1" x14ac:dyDescent="0.3">
      <c r="A889" s="8"/>
    </row>
    <row r="890" spans="1:1" x14ac:dyDescent="0.3">
      <c r="A890" s="8"/>
    </row>
    <row r="891" spans="1:1" x14ac:dyDescent="0.3">
      <c r="A891" s="8"/>
    </row>
    <row r="892" spans="1:1" x14ac:dyDescent="0.3">
      <c r="A892" s="8"/>
    </row>
    <row r="893" spans="1:1" x14ac:dyDescent="0.3">
      <c r="A893" s="8"/>
    </row>
    <row r="894" spans="1:1" x14ac:dyDescent="0.3">
      <c r="A894" s="8"/>
    </row>
    <row r="895" spans="1:1" x14ac:dyDescent="0.3">
      <c r="A895" s="8"/>
    </row>
    <row r="896" spans="1:1" x14ac:dyDescent="0.3">
      <c r="A896" s="8"/>
    </row>
    <row r="897" spans="1:1" x14ac:dyDescent="0.3">
      <c r="A897" s="8"/>
    </row>
    <row r="898" spans="1:1" x14ac:dyDescent="0.3">
      <c r="A898" s="8"/>
    </row>
    <row r="899" spans="1:1" x14ac:dyDescent="0.3">
      <c r="A899" s="8"/>
    </row>
    <row r="900" spans="1:1" x14ac:dyDescent="0.3">
      <c r="A900" s="8"/>
    </row>
    <row r="901" spans="1:1" x14ac:dyDescent="0.3">
      <c r="A901" s="8"/>
    </row>
    <row r="902" spans="1:1" x14ac:dyDescent="0.3">
      <c r="A902" s="8"/>
    </row>
    <row r="903" spans="1:1" x14ac:dyDescent="0.3">
      <c r="A903" s="8"/>
    </row>
    <row r="904" spans="1:1" x14ac:dyDescent="0.3">
      <c r="A904" s="8"/>
    </row>
    <row r="905" spans="1:1" x14ac:dyDescent="0.3">
      <c r="A905" s="8"/>
    </row>
    <row r="906" spans="1:1" x14ac:dyDescent="0.3">
      <c r="A906" s="8"/>
    </row>
    <row r="907" spans="1:1" x14ac:dyDescent="0.3">
      <c r="A907" s="8"/>
    </row>
    <row r="908" spans="1:1" x14ac:dyDescent="0.3">
      <c r="A908" s="8"/>
    </row>
    <row r="909" spans="1:1" x14ac:dyDescent="0.3">
      <c r="A909" s="8"/>
    </row>
    <row r="910" spans="1:1" x14ac:dyDescent="0.3">
      <c r="A910" s="8"/>
    </row>
    <row r="911" spans="1:1" x14ac:dyDescent="0.3">
      <c r="A911" s="8"/>
    </row>
    <row r="912" spans="1:1" x14ac:dyDescent="0.3">
      <c r="A912" s="8"/>
    </row>
    <row r="913" spans="1:1" x14ac:dyDescent="0.3">
      <c r="A913" s="8"/>
    </row>
    <row r="914" spans="1:1" x14ac:dyDescent="0.3">
      <c r="A914" s="8"/>
    </row>
    <row r="915" spans="1:1" x14ac:dyDescent="0.3">
      <c r="A915" s="8"/>
    </row>
    <row r="916" spans="1:1" x14ac:dyDescent="0.3">
      <c r="A916" s="8"/>
    </row>
    <row r="917" spans="1:1" x14ac:dyDescent="0.3">
      <c r="A917" s="8"/>
    </row>
  </sheetData>
  <mergeCells count="18">
    <mergeCell ref="E627:F627"/>
    <mergeCell ref="B572:B574"/>
    <mergeCell ref="B550:B552"/>
    <mergeCell ref="B500:C500"/>
    <mergeCell ref="C236:C237"/>
    <mergeCell ref="B256:C256"/>
    <mergeCell ref="C359:C360"/>
    <mergeCell ref="C476:E476"/>
    <mergeCell ref="C477:E477"/>
    <mergeCell ref="B756:C756"/>
    <mergeCell ref="B718:D718"/>
    <mergeCell ref="B742:D742"/>
    <mergeCell ref="B743:D743"/>
    <mergeCell ref="C669:D669"/>
    <mergeCell ref="B684:C684"/>
    <mergeCell ref="B685:C685"/>
    <mergeCell ref="B700:C700"/>
    <mergeCell ref="B702:C70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2026-07-01T18:59:28Z</dcterms:modified>
</cp:coreProperties>
</file>