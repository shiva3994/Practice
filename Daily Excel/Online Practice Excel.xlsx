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Daily Excel/"/>
    </mc:Choice>
  </mc:AlternateContent>
  <xr:revisionPtr revIDLastSave="98" documentId="11_F25DC773A252ABDACC1048BD89DC52D45ADE58EF" xr6:coauthVersionLast="47" xr6:coauthVersionMax="47" xr10:uidLastSave="{B8C65BA7-0FEC-4EED-A016-55B25A984EAD}"/>
  <bookViews>
    <workbookView xWindow="-108" yWindow="-108" windowWidth="23256" windowHeight="12456"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317" i="1" l="1"/>
  <c r="F316" i="1" a="1"/>
  <c r="F316" i="1" s="1"/>
  <c r="F315" i="1"/>
  <c r="D296" i="1"/>
  <c r="D297" i="1"/>
  <c r="D298" i="1"/>
  <c r="D299"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G315" i="1"/>
  <c r="E295" i="1"/>
  <c r="B256" i="1"/>
  <c r="C236" i="1"/>
  <c r="D269" i="1"/>
  <c r="D283" i="1"/>
  <c r="E204" i="1"/>
  <c r="C145" i="1" l="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<sst xmlns="http://schemas.openxmlformats.org/spreadsheetml/2006/main" count="429" uniqueCount="352">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</sst>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3" x14ac:knownFonts="1">
    <font>
      <sz val="11"/>
      <color theme="1"/>
      <name val="Calibri"/>
      <family val="2"/>
      <scheme val="minor"/>
    </font>
    <font>
      <sz val="10"/>
      <color theme="1"/>
      <name val="Calibri Light"/>
      <family val="2"/>
      <scheme val="major"/>
    </font>
    <font>
      <sz val="10"/>
      <color rgb="FF1E1E1E"/>
      <name val="Calibri Light"/>
      <family val="2"/>
      <scheme val="major"/>
    </font>
  </fonts>
  <fills count="12">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35">
    <xf numFmtId="0" fontId="0" fillId="0" borderId="0" xfId="0"/>
    <xf numFmtId="0" fontId="1" fillId="0" borderId="0" xfId="0" applyFont="1" applyAlignment="1">
      <alignment horizontal="left" vertical="top"/>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0" fontId="1" fillId="11" borderId="0" xfId="0" applyFont="1" applyFill="1" applyAlignment="1">
      <alignment vertical="top"/>
    </xf>
    <xf numFmtId="0" fontId="1" fillId="0" borderId="0" xfId="0" applyFont="1" applyAlignment="1">
      <alignment vertical="top"/>
    </xf>
    <xf numFmtId="0" fontId="1" fillId="11" borderId="0" xfId="0" applyFont="1" applyFill="1" applyAlignment="1">
      <alignment vertical="top" wrapText="1"/>
    </xf>
    <xf numFmtId="0" fontId="1" fillId="0" borderId="0" xfId="0" applyFont="1" applyFill="1" applyAlignment="1">
      <alignment vertical="top" wrapText="1"/>
    </xf>
    <xf numFmtId="0" fontId="2" fillId="11" borderId="0" xfId="0" applyFont="1" applyFill="1" applyAlignment="1">
      <alignment vertical="center" wrapText="1"/>
    </xf>
    <xf numFmtId="0" fontId="1" fillId="11" borderId="0" xfId="0" applyFont="1" applyFill="1" applyAlignment="1">
      <alignment vertical="center" wrapText="1"/>
    </xf>
    <xf numFmtId="0" fontId="1" fillId="9" borderId="0" xfId="0"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22"/>
  <sheetViews>
    <sheetView tabSelected="1" topLeftCell="A316" workbookViewId="0">
      <selection activeCell="A324" sqref="A324"/>
    </sheetView>
  </sheetViews>
  <sheetFormatPr defaultRowHeight="13.8" x14ac:dyDescent="0.3"/>
  <cols>
    <col min="1" max="1" width="149.88671875" style="1" bestFit="1" customWidth="1"/>
    <col min="2" max="2" width="30.109375" style="1" customWidth="1"/>
    <col min="3" max="4" width="27.33203125" style="1" customWidth="1"/>
    <col min="5" max="5" width="26" style="1" customWidth="1"/>
    <col min="6" max="6" width="24.44140625" style="1" customWidth="1"/>
    <col min="7" max="17" width="21.88671875" style="1" customWidth="1"/>
    <col min="18" max="16384" width="8.88671875" style="1"/>
  </cols>
  <sheetData>
    <row r="1" spans="1:23" x14ac:dyDescent="0.3">
      <c r="A1" s="26" t="s">
        <v>0</v>
      </c>
      <c r="B1" s="27"/>
      <c r="C1" s="27"/>
      <c r="D1" s="27"/>
      <c r="E1" s="27"/>
      <c r="F1" s="27"/>
      <c r="G1" s="27"/>
      <c r="H1" s="27"/>
      <c r="I1" s="27"/>
      <c r="J1" s="27"/>
    </row>
    <row r="3" spans="1:23" x14ac:dyDescent="0.3">
      <c r="B3" s="1">
        <f>32+57</f>
        <v>89</v>
      </c>
    </row>
    <row r="6" spans="1:23" x14ac:dyDescent="0.3">
      <c r="A6" s="28" t="s">
        <v>213</v>
      </c>
    </row>
    <row r="8" spans="1:23" x14ac:dyDescent="0.3">
      <c r="A8" s="2" t="s">
        <v>1</v>
      </c>
      <c r="B8" s="2"/>
    </row>
    <row r="9" spans="1:23" x14ac:dyDescent="0.3">
      <c r="A9" s="2" t="s">
        <v>2</v>
      </c>
      <c r="B9" s="2">
        <v>4000</v>
      </c>
    </row>
    <row r="10" spans="1:23" x14ac:dyDescent="0.3">
      <c r="A10" s="2" t="s">
        <v>3</v>
      </c>
      <c r="B10" s="2">
        <v>-1300</v>
      </c>
    </row>
    <row r="11" spans="1:23" x14ac:dyDescent="0.3">
      <c r="A11" s="2" t="s">
        <v>4</v>
      </c>
      <c r="B11" s="2">
        <v>-400</v>
      </c>
    </row>
    <row r="12" spans="1:23" x14ac:dyDescent="0.3">
      <c r="A12" s="2" t="s">
        <v>5</v>
      </c>
      <c r="B12" s="2">
        <v>-250</v>
      </c>
    </row>
    <row r="13" spans="1:23" x14ac:dyDescent="0.3">
      <c r="A13" s="2"/>
      <c r="B13" s="2"/>
    </row>
    <row r="14" spans="1:23" x14ac:dyDescent="0.3">
      <c r="A14" s="2" t="s">
        <v>6</v>
      </c>
      <c r="B14" s="3">
        <f xml:space="preserve"> SUM(B9:B12)</f>
        <v>2050</v>
      </c>
    </row>
    <row r="16" spans="1:23" x14ac:dyDescent="0.3">
      <c r="A16" s="28" t="s">
        <v>28</v>
      </c>
      <c r="B16" s="29"/>
      <c r="C16" s="29"/>
      <c r="D16" s="29"/>
      <c r="E16" s="29"/>
      <c r="F16" s="29"/>
      <c r="G16" s="29"/>
      <c r="H16" s="29"/>
      <c r="I16" s="29"/>
      <c r="J16" s="29"/>
      <c r="K16" s="29"/>
      <c r="L16" s="29"/>
      <c r="M16" s="29"/>
      <c r="N16" s="29"/>
      <c r="O16" s="29"/>
      <c r="P16" s="29"/>
      <c r="Q16" s="29"/>
      <c r="R16" s="29"/>
      <c r="S16" s="29"/>
      <c r="T16" s="29"/>
      <c r="U16" s="29"/>
      <c r="V16" s="29"/>
      <c r="W16" s="29"/>
    </row>
    <row r="18" spans="1:23" x14ac:dyDescent="0.3">
      <c r="A18" s="4">
        <v>7</v>
      </c>
    </row>
    <row r="19" spans="1:23" x14ac:dyDescent="0.3">
      <c r="A19" s="4">
        <v>18</v>
      </c>
    </row>
    <row r="20" spans="1:23" x14ac:dyDescent="0.3">
      <c r="A20" s="4">
        <v>35</v>
      </c>
    </row>
    <row r="21" spans="1:23" x14ac:dyDescent="0.3">
      <c r="A21" s="4">
        <v>1</v>
      </c>
    </row>
    <row r="22" spans="1:23" x14ac:dyDescent="0.3">
      <c r="A22" s="4">
        <v>9</v>
      </c>
    </row>
    <row r="23" spans="1:23" x14ac:dyDescent="0.3">
      <c r="A23" s="4"/>
    </row>
    <row r="24" spans="1:23" x14ac:dyDescent="0.3">
      <c r="A24" s="5">
        <f>AVERAGE(A18:A22)</f>
        <v>14</v>
      </c>
    </row>
    <row r="26" spans="1:23" s="6" customFormat="1" x14ac:dyDescent="0.3">
      <c r="A26" s="28" t="s">
        <v>212</v>
      </c>
      <c r="B26" s="29"/>
      <c r="C26" s="29"/>
      <c r="D26" s="29"/>
      <c r="E26" s="29"/>
      <c r="F26" s="29"/>
      <c r="G26" s="29"/>
      <c r="H26" s="29"/>
      <c r="I26" s="29"/>
      <c r="J26" s="29"/>
      <c r="K26" s="29"/>
      <c r="L26" s="29"/>
      <c r="M26" s="29"/>
      <c r="N26" s="29"/>
      <c r="O26" s="29"/>
      <c r="P26" s="29"/>
      <c r="Q26" s="29"/>
      <c r="R26" s="29"/>
      <c r="S26" s="29"/>
      <c r="T26" s="29"/>
      <c r="U26" s="29"/>
      <c r="V26" s="29"/>
      <c r="W26" s="29"/>
    </row>
    <row r="27" spans="1:23" x14ac:dyDescent="0.3">
      <c r="A27" s="7" t="s">
        <v>7</v>
      </c>
      <c r="B27" s="7" t="s">
        <v>8</v>
      </c>
      <c r="C27" s="7" t="s">
        <v>9</v>
      </c>
      <c r="D27" s="7" t="s">
        <v>10</v>
      </c>
    </row>
    <row r="28" spans="1:23" x14ac:dyDescent="0.3">
      <c r="A28" s="4" t="s">
        <v>11</v>
      </c>
      <c r="B28" s="8">
        <v>3</v>
      </c>
      <c r="C28" s="8">
        <v>25</v>
      </c>
      <c r="D28" s="9">
        <f>B28*C28</f>
        <v>75</v>
      </c>
    </row>
    <row r="29" spans="1:23" x14ac:dyDescent="0.3">
      <c r="A29" s="4" t="s">
        <v>12</v>
      </c>
      <c r="B29" s="8">
        <v>5</v>
      </c>
      <c r="C29" s="8">
        <v>18</v>
      </c>
      <c r="D29" s="9">
        <f t="shared" ref="D29:D33" si="0">B29*C29</f>
        <v>90</v>
      </c>
    </row>
    <row r="30" spans="1:23" x14ac:dyDescent="0.3">
      <c r="A30" s="4" t="s">
        <v>13</v>
      </c>
      <c r="B30" s="8">
        <v>10</v>
      </c>
      <c r="C30" s="8">
        <v>9</v>
      </c>
      <c r="D30" s="9">
        <f t="shared" si="0"/>
        <v>90</v>
      </c>
    </row>
    <row r="31" spans="1:23" x14ac:dyDescent="0.3">
      <c r="A31" s="4" t="s">
        <v>14</v>
      </c>
      <c r="B31" s="8">
        <v>2</v>
      </c>
      <c r="C31" s="8">
        <v>42</v>
      </c>
      <c r="D31" s="9">
        <f t="shared" si="0"/>
        <v>84</v>
      </c>
    </row>
    <row r="32" spans="1:23" x14ac:dyDescent="0.3">
      <c r="A32" s="4" t="s">
        <v>15</v>
      </c>
      <c r="B32" s="8">
        <v>12</v>
      </c>
      <c r="C32" s="8">
        <v>6</v>
      </c>
      <c r="D32" s="9">
        <f t="shared" si="0"/>
        <v>72</v>
      </c>
    </row>
    <row r="33" spans="1:4" x14ac:dyDescent="0.3">
      <c r="A33" s="4" t="s">
        <v>16</v>
      </c>
      <c r="B33" s="8">
        <v>4</v>
      </c>
      <c r="C33" s="8">
        <v>15</v>
      </c>
      <c r="D33" s="9">
        <f t="shared" si="0"/>
        <v>60</v>
      </c>
    </row>
    <row r="34" spans="1:4" x14ac:dyDescent="0.3">
      <c r="A34" s="4"/>
      <c r="B34" s="8"/>
      <c r="C34" s="8"/>
      <c r="D34" s="9"/>
    </row>
    <row r="35" spans="1:4" x14ac:dyDescent="0.3">
      <c r="A35" s="28" t="s">
        <v>215</v>
      </c>
    </row>
    <row r="36" spans="1:4" ht="179.4" x14ac:dyDescent="0.3">
      <c r="A36" s="2" t="s">
        <v>214</v>
      </c>
    </row>
    <row r="38" spans="1:4" x14ac:dyDescent="0.3">
      <c r="A38" s="10" t="s">
        <v>17</v>
      </c>
      <c r="B38" s="10" t="s">
        <v>18</v>
      </c>
      <c r="C38" s="10" t="s">
        <v>19</v>
      </c>
    </row>
    <row r="39" spans="1:4" x14ac:dyDescent="0.3">
      <c r="A39" s="4" t="s">
        <v>20</v>
      </c>
      <c r="B39" s="11">
        <v>1250</v>
      </c>
      <c r="C39" s="12">
        <f>VALUE(B39)</f>
        <v>1250</v>
      </c>
    </row>
    <row r="40" spans="1:4" x14ac:dyDescent="0.3">
      <c r="A40" s="4" t="s">
        <v>21</v>
      </c>
      <c r="B40" s="11">
        <v>879.5</v>
      </c>
      <c r="C40" s="12">
        <f t="shared" ref="C40:C44" si="1">VALUE(B40)</f>
        <v>879.5</v>
      </c>
    </row>
    <row r="41" spans="1:4" x14ac:dyDescent="0.3">
      <c r="A41" s="4" t="s">
        <v>22</v>
      </c>
      <c r="B41" s="11">
        <v>3200</v>
      </c>
      <c r="C41" s="12">
        <f t="shared" si="1"/>
        <v>3200</v>
      </c>
    </row>
    <row r="42" spans="1:4" x14ac:dyDescent="0.3">
      <c r="A42" s="4" t="s">
        <v>23</v>
      </c>
      <c r="B42" s="11">
        <v>415.75</v>
      </c>
      <c r="C42" s="12">
        <f t="shared" si="1"/>
        <v>415.75</v>
      </c>
    </row>
    <row r="43" spans="1:4" x14ac:dyDescent="0.3">
      <c r="A43" s="4" t="s">
        <v>24</v>
      </c>
      <c r="B43" s="11">
        <v>999</v>
      </c>
      <c r="C43" s="12">
        <f t="shared" si="1"/>
        <v>999</v>
      </c>
    </row>
    <row r="44" spans="1:4" x14ac:dyDescent="0.3">
      <c r="A44" s="4" t="s">
        <v>25</v>
      </c>
      <c r="B44" s="11">
        <v>150.25</v>
      </c>
      <c r="C44" s="12">
        <f t="shared" si="1"/>
        <v>150.25</v>
      </c>
    </row>
    <row r="45" spans="1:4" x14ac:dyDescent="0.3">
      <c r="A45" s="4" t="s">
        <v>26</v>
      </c>
      <c r="B45" s="4">
        <v>0</v>
      </c>
      <c r="C45" s="13">
        <f>SUM(C39:C44)</f>
        <v>6894.5</v>
      </c>
    </row>
    <row r="47" spans="1:4" x14ac:dyDescent="0.3">
      <c r="A47" s="30" t="s">
        <v>27</v>
      </c>
    </row>
    <row r="48" spans="1:4" ht="82.8" x14ac:dyDescent="0.3">
      <c r="A48" s="2" t="s">
        <v>211</v>
      </c>
    </row>
    <row r="49" spans="1:4" x14ac:dyDescent="0.3">
      <c r="A49" s="2"/>
    </row>
    <row r="50" spans="1:4" x14ac:dyDescent="0.3">
      <c r="A50" s="10" t="s">
        <v>29</v>
      </c>
      <c r="B50" s="10" t="s">
        <v>30</v>
      </c>
      <c r="C50" s="10" t="s">
        <v>31</v>
      </c>
      <c r="D50" s="10" t="s">
        <v>32</v>
      </c>
    </row>
    <row r="51" spans="1:4" x14ac:dyDescent="0.3">
      <c r="A51" s="4" t="s">
        <v>33</v>
      </c>
      <c r="B51" s="14">
        <v>7.8</v>
      </c>
      <c r="C51" s="5">
        <f>INT(B51)</f>
        <v>7</v>
      </c>
      <c r="D51" s="5">
        <f>TRUNC(B51)</f>
        <v>7</v>
      </c>
    </row>
    <row r="52" spans="1:4" x14ac:dyDescent="0.3">
      <c r="A52" s="4" t="s">
        <v>34</v>
      </c>
      <c r="B52" s="14">
        <v>15.23</v>
      </c>
      <c r="C52" s="5">
        <f t="shared" ref="C52:C61" si="2">INT(B52)</f>
        <v>15</v>
      </c>
      <c r="D52" s="5">
        <f t="shared" ref="D52:D61" si="3">TRUNC(B52)</f>
        <v>15</v>
      </c>
    </row>
    <row r="53" spans="1:4" x14ac:dyDescent="0.3">
      <c r="A53" s="4" t="s">
        <v>35</v>
      </c>
      <c r="B53" s="14">
        <v>99.9</v>
      </c>
      <c r="C53" s="5">
        <f t="shared" si="2"/>
        <v>99</v>
      </c>
      <c r="D53" s="5">
        <f t="shared" si="3"/>
        <v>99</v>
      </c>
    </row>
    <row r="54" spans="1:4" x14ac:dyDescent="0.3">
      <c r="A54" s="4" t="s">
        <v>36</v>
      </c>
      <c r="B54" s="14">
        <v>-3.4</v>
      </c>
      <c r="C54" s="5">
        <f t="shared" si="2"/>
        <v>-4</v>
      </c>
      <c r="D54" s="5">
        <f t="shared" si="3"/>
        <v>-3</v>
      </c>
    </row>
    <row r="55" spans="1:4" x14ac:dyDescent="0.3">
      <c r="A55" s="4" t="s">
        <v>37</v>
      </c>
      <c r="B55" s="14">
        <v>-12.75</v>
      </c>
      <c r="C55" s="5">
        <f t="shared" si="2"/>
        <v>-13</v>
      </c>
      <c r="D55" s="5">
        <f t="shared" si="3"/>
        <v>-12</v>
      </c>
    </row>
    <row r="56" spans="1:4" x14ac:dyDescent="0.3">
      <c r="A56" s="4" t="s">
        <v>38</v>
      </c>
      <c r="B56" s="14">
        <v>-0.62</v>
      </c>
      <c r="C56" s="5">
        <f t="shared" si="2"/>
        <v>-1</v>
      </c>
      <c r="D56" s="5">
        <f t="shared" si="3"/>
        <v>0</v>
      </c>
    </row>
    <row r="57" spans="1:4" x14ac:dyDescent="0.3">
      <c r="A57" s="4" t="s">
        <v>39</v>
      </c>
      <c r="B57" s="14">
        <v>22.49</v>
      </c>
      <c r="C57" s="5">
        <f t="shared" si="2"/>
        <v>22</v>
      </c>
      <c r="D57" s="5">
        <f t="shared" si="3"/>
        <v>22</v>
      </c>
    </row>
    <row r="58" spans="1:4" x14ac:dyDescent="0.3">
      <c r="A58" s="4" t="s">
        <v>40</v>
      </c>
      <c r="B58" s="14">
        <v>-8.01</v>
      </c>
      <c r="C58" s="5">
        <f t="shared" si="2"/>
        <v>-9</v>
      </c>
      <c r="D58" s="5">
        <f t="shared" si="3"/>
        <v>-8</v>
      </c>
    </row>
    <row r="59" spans="1:4" x14ac:dyDescent="0.3">
      <c r="A59" s="4" t="s">
        <v>41</v>
      </c>
      <c r="B59" s="14">
        <v>4.99</v>
      </c>
      <c r="C59" s="5">
        <f t="shared" si="2"/>
        <v>4</v>
      </c>
      <c r="D59" s="5">
        <f t="shared" si="3"/>
        <v>4</v>
      </c>
    </row>
    <row r="60" spans="1:4" x14ac:dyDescent="0.3">
      <c r="A60" s="4" t="s">
        <v>42</v>
      </c>
      <c r="B60" s="14">
        <v>11.58</v>
      </c>
      <c r="C60" s="5">
        <f t="shared" si="2"/>
        <v>11</v>
      </c>
      <c r="D60" s="5">
        <f t="shared" si="3"/>
        <v>11</v>
      </c>
    </row>
    <row r="61" spans="1:4" x14ac:dyDescent="0.3">
      <c r="A61" s="4" t="s">
        <v>43</v>
      </c>
      <c r="B61" s="14">
        <v>-5.2</v>
      </c>
      <c r="C61" s="5">
        <f t="shared" si="2"/>
        <v>-6</v>
      </c>
      <c r="D61" s="5">
        <f t="shared" si="3"/>
        <v>-5</v>
      </c>
    </row>
    <row r="63" spans="1:4" x14ac:dyDescent="0.3">
      <c r="A63" s="30" t="s">
        <v>44</v>
      </c>
    </row>
    <row r="64" spans="1:4" ht="82.8" x14ac:dyDescent="0.3">
      <c r="A64" s="2" t="s">
        <v>45</v>
      </c>
    </row>
    <row r="65" spans="1:4" x14ac:dyDescent="0.3">
      <c r="A65" s="2"/>
    </row>
    <row r="66" spans="1:4" x14ac:dyDescent="0.3">
      <c r="A66" s="7" t="s">
        <v>46</v>
      </c>
      <c r="B66" s="7" t="s">
        <v>47</v>
      </c>
      <c r="C66" s="7" t="s">
        <v>8</v>
      </c>
      <c r="D66" s="7" t="s">
        <v>48</v>
      </c>
    </row>
    <row r="67" spans="1:4" x14ac:dyDescent="0.3">
      <c r="A67" s="4" t="s">
        <v>49</v>
      </c>
      <c r="B67" s="4" t="s">
        <v>50</v>
      </c>
      <c r="C67" s="4">
        <v>48</v>
      </c>
      <c r="D67" s="4" t="s">
        <v>51</v>
      </c>
    </row>
    <row r="68" spans="1:4" x14ac:dyDescent="0.3">
      <c r="A68" s="4" t="s">
        <v>52</v>
      </c>
      <c r="B68" s="4" t="s">
        <v>53</v>
      </c>
      <c r="C68" s="4">
        <v>15</v>
      </c>
      <c r="D68" s="4" t="s">
        <v>54</v>
      </c>
    </row>
    <row r="69" spans="1:4" x14ac:dyDescent="0.3">
      <c r="A69" s="4" t="s">
        <v>55</v>
      </c>
      <c r="B69" s="4" t="s">
        <v>56</v>
      </c>
      <c r="C69" s="4">
        <v>22</v>
      </c>
      <c r="D69" s="4" t="s">
        <v>57</v>
      </c>
    </row>
    <row r="70" spans="1:4" x14ac:dyDescent="0.3">
      <c r="A70" s="4" t="s">
        <v>58</v>
      </c>
      <c r="B70" s="4" t="s">
        <v>56</v>
      </c>
      <c r="C70" s="4">
        <v>10</v>
      </c>
      <c r="D70" s="4" t="s">
        <v>59</v>
      </c>
    </row>
    <row r="71" spans="1:4" x14ac:dyDescent="0.3">
      <c r="A71" s="4" t="s">
        <v>60</v>
      </c>
      <c r="B71" s="4" t="s">
        <v>61</v>
      </c>
      <c r="C71" s="4"/>
      <c r="D71" s="4" t="s">
        <v>62</v>
      </c>
    </row>
    <row r="72" spans="1:4" x14ac:dyDescent="0.3">
      <c r="A72" s="4" t="s">
        <v>63</v>
      </c>
      <c r="B72" s="4" t="s">
        <v>64</v>
      </c>
      <c r="C72" s="4">
        <v>5</v>
      </c>
      <c r="D72" s="4" t="s">
        <v>65</v>
      </c>
    </row>
    <row r="73" spans="1:4" x14ac:dyDescent="0.3">
      <c r="A73" s="4" t="s">
        <v>66</v>
      </c>
      <c r="B73" s="4" t="s">
        <v>67</v>
      </c>
      <c r="C73" s="4">
        <v>2</v>
      </c>
      <c r="D73" s="4" t="s">
        <v>68</v>
      </c>
    </row>
    <row r="74" spans="1:4" x14ac:dyDescent="0.3">
      <c r="A74" s="14" t="s">
        <v>69</v>
      </c>
      <c r="B74" s="5">
        <f>COUNTA(B67:B73)</f>
        <v>7</v>
      </c>
      <c r="C74" s="14" t="s">
        <v>70</v>
      </c>
      <c r="D74" s="5">
        <f>COUNT(C67:C73)</f>
        <v>6</v>
      </c>
    </row>
    <row r="76" spans="1:4" x14ac:dyDescent="0.3">
      <c r="A76" s="30" t="s">
        <v>71</v>
      </c>
    </row>
    <row r="77" spans="1:4" ht="69" x14ac:dyDescent="0.3">
      <c r="A77" s="2" t="s">
        <v>72</v>
      </c>
    </row>
    <row r="78" spans="1:4" x14ac:dyDescent="0.3">
      <c r="A78" s="7" t="s">
        <v>73</v>
      </c>
      <c r="B78" s="7" t="s">
        <v>74</v>
      </c>
    </row>
    <row r="79" spans="1:4" x14ac:dyDescent="0.3">
      <c r="A79" s="4" t="s">
        <v>75</v>
      </c>
      <c r="B79" s="4">
        <v>18500</v>
      </c>
    </row>
    <row r="80" spans="1:4" x14ac:dyDescent="0.3">
      <c r="A80" s="4" t="s">
        <v>76</v>
      </c>
      <c r="B80" s="4">
        <v>21250</v>
      </c>
    </row>
    <row r="81" spans="1:3" x14ac:dyDescent="0.3">
      <c r="A81" s="4" t="s">
        <v>77</v>
      </c>
      <c r="B81" s="4">
        <v>19800</v>
      </c>
    </row>
    <row r="82" spans="1:3" x14ac:dyDescent="0.3">
      <c r="A82" s="4" t="s">
        <v>78</v>
      </c>
      <c r="B82" s="4">
        <v>25000</v>
      </c>
    </row>
    <row r="83" spans="1:3" x14ac:dyDescent="0.3">
      <c r="A83" s="4" t="s">
        <v>79</v>
      </c>
      <c r="B83" s="4">
        <v>23750</v>
      </c>
    </row>
    <row r="84" spans="1:3" x14ac:dyDescent="0.3">
      <c r="A84" s="4" t="s">
        <v>80</v>
      </c>
      <c r="B84" s="4">
        <v>22100</v>
      </c>
    </row>
    <row r="85" spans="1:3" x14ac:dyDescent="0.3">
      <c r="A85" s="4" t="s">
        <v>81</v>
      </c>
      <c r="B85" s="4">
        <v>26400</v>
      </c>
    </row>
    <row r="86" spans="1:3" x14ac:dyDescent="0.3">
      <c r="A86" s="4" t="s">
        <v>82</v>
      </c>
      <c r="B86" s="4">
        <v>24300</v>
      </c>
    </row>
    <row r="87" spans="1:3" x14ac:dyDescent="0.3">
      <c r="A87" s="4" t="s">
        <v>83</v>
      </c>
      <c r="B87" s="5">
        <v>26400</v>
      </c>
    </row>
    <row r="89" spans="1:3" x14ac:dyDescent="0.3">
      <c r="A89" s="30" t="s">
        <v>84</v>
      </c>
    </row>
    <row r="90" spans="1:3" ht="55.2" x14ac:dyDescent="0.3">
      <c r="A90" s="2" t="s">
        <v>85</v>
      </c>
    </row>
    <row r="91" spans="1:3" x14ac:dyDescent="0.3">
      <c r="A91" s="2"/>
    </row>
    <row r="92" spans="1:3" x14ac:dyDescent="0.3">
      <c r="A92" s="7" t="s">
        <v>86</v>
      </c>
      <c r="B92" s="7" t="s">
        <v>87</v>
      </c>
      <c r="C92" s="7" t="s">
        <v>88</v>
      </c>
    </row>
    <row r="93" spans="1:3" x14ac:dyDescent="0.3">
      <c r="A93" s="4" t="s">
        <v>89</v>
      </c>
      <c r="B93" s="4" t="s">
        <v>90</v>
      </c>
      <c r="C93" s="15">
        <v>425</v>
      </c>
    </row>
    <row r="94" spans="1:3" x14ac:dyDescent="0.3">
      <c r="A94" s="4" t="s">
        <v>91</v>
      </c>
      <c r="B94" s="4" t="s">
        <v>92</v>
      </c>
      <c r="C94" s="15">
        <v>980</v>
      </c>
    </row>
    <row r="95" spans="1:3" x14ac:dyDescent="0.3">
      <c r="A95" s="4" t="s">
        <v>93</v>
      </c>
      <c r="B95" s="4" t="s">
        <v>94</v>
      </c>
      <c r="C95" s="15">
        <v>160</v>
      </c>
    </row>
    <row r="96" spans="1:3" x14ac:dyDescent="0.3">
      <c r="A96" s="4" t="s">
        <v>95</v>
      </c>
      <c r="B96" s="4" t="s">
        <v>96</v>
      </c>
      <c r="C96" s="15">
        <v>350</v>
      </c>
    </row>
    <row r="97" spans="1:4" x14ac:dyDescent="0.3">
      <c r="A97" s="4" t="s">
        <v>97</v>
      </c>
      <c r="B97" s="4" t="s">
        <v>98</v>
      </c>
      <c r="C97" s="15">
        <v>1200</v>
      </c>
    </row>
    <row r="98" spans="1:4" x14ac:dyDescent="0.3">
      <c r="A98" s="4" t="s">
        <v>99</v>
      </c>
      <c r="B98" s="4" t="s">
        <v>90</v>
      </c>
      <c r="C98" s="15">
        <v>95</v>
      </c>
    </row>
    <row r="99" spans="1:4" x14ac:dyDescent="0.3">
      <c r="A99" s="4" t="s">
        <v>100</v>
      </c>
      <c r="B99" s="4"/>
      <c r="C99" s="9">
        <f>MIN(C93:C98)</f>
        <v>95</v>
      </c>
    </row>
    <row r="101" spans="1:4" x14ac:dyDescent="0.3">
      <c r="A101" s="30" t="s">
        <v>101</v>
      </c>
    </row>
    <row r="102" spans="1:4" x14ac:dyDescent="0.3">
      <c r="A102" s="16" t="s">
        <v>102</v>
      </c>
    </row>
    <row r="103" spans="1:4" ht="110.4" x14ac:dyDescent="0.3">
      <c r="A103" s="2" t="s">
        <v>103</v>
      </c>
    </row>
    <row r="104" spans="1:4" x14ac:dyDescent="0.3">
      <c r="A104" s="10" t="s">
        <v>104</v>
      </c>
      <c r="B104" s="10" t="s">
        <v>105</v>
      </c>
      <c r="C104" s="10" t="s">
        <v>47</v>
      </c>
      <c r="D104" s="10" t="s">
        <v>88</v>
      </c>
    </row>
    <row r="105" spans="1:4" x14ac:dyDescent="0.3">
      <c r="A105" s="4">
        <v>1001</v>
      </c>
      <c r="B105" s="17">
        <v>46025</v>
      </c>
      <c r="C105" s="4" t="s">
        <v>106</v>
      </c>
      <c r="D105" s="4">
        <v>249.99</v>
      </c>
    </row>
    <row r="106" spans="1:4" x14ac:dyDescent="0.3">
      <c r="A106" s="4">
        <v>1002</v>
      </c>
      <c r="B106" s="17">
        <v>46026</v>
      </c>
      <c r="C106" s="4" t="s">
        <v>107</v>
      </c>
      <c r="D106" s="4">
        <v>39.5</v>
      </c>
    </row>
    <row r="107" spans="1:4" x14ac:dyDescent="0.3">
      <c r="A107" s="4">
        <v>1003</v>
      </c>
      <c r="B107" s="17">
        <v>46027</v>
      </c>
      <c r="C107" s="4" t="s">
        <v>106</v>
      </c>
      <c r="D107" s="4">
        <v>89</v>
      </c>
    </row>
    <row r="108" spans="1:4" x14ac:dyDescent="0.3">
      <c r="A108" s="4">
        <v>1004</v>
      </c>
      <c r="B108" s="17">
        <v>46027</v>
      </c>
      <c r="C108" s="4" t="s">
        <v>108</v>
      </c>
      <c r="D108" s="4">
        <v>59.99</v>
      </c>
    </row>
    <row r="109" spans="1:4" x14ac:dyDescent="0.3">
      <c r="A109" s="4">
        <v>1005</v>
      </c>
      <c r="B109" s="17">
        <v>46028</v>
      </c>
      <c r="C109" s="4" t="s">
        <v>106</v>
      </c>
      <c r="D109" s="4">
        <v>129</v>
      </c>
    </row>
    <row r="110" spans="1:4" x14ac:dyDescent="0.3">
      <c r="A110" s="4">
        <v>1006</v>
      </c>
      <c r="B110" s="17">
        <v>46028</v>
      </c>
      <c r="C110" s="4" t="s">
        <v>109</v>
      </c>
      <c r="D110" s="4">
        <v>24.99</v>
      </c>
    </row>
    <row r="111" spans="1:4" x14ac:dyDescent="0.3">
      <c r="A111" s="4">
        <v>1007</v>
      </c>
      <c r="B111" s="17">
        <v>46029</v>
      </c>
      <c r="C111" s="4" t="s">
        <v>107</v>
      </c>
      <c r="D111" s="4">
        <v>75</v>
      </c>
    </row>
    <row r="112" spans="1:4" x14ac:dyDescent="0.3">
      <c r="A112" s="4"/>
      <c r="B112" s="4"/>
      <c r="C112" s="4" t="s">
        <v>110</v>
      </c>
      <c r="D112" s="5">
        <v>3</v>
      </c>
    </row>
    <row r="114" spans="1:3" x14ac:dyDescent="0.3">
      <c r="A114" s="30" t="s">
        <v>111</v>
      </c>
    </row>
    <row r="115" spans="1:3" ht="124.2" x14ac:dyDescent="0.3">
      <c r="A115" s="2" t="s">
        <v>112</v>
      </c>
    </row>
    <row r="116" spans="1:3" x14ac:dyDescent="0.3">
      <c r="A116" s="10" t="s">
        <v>113</v>
      </c>
      <c r="B116" s="10" t="s">
        <v>87</v>
      </c>
      <c r="C116" s="10" t="s">
        <v>114</v>
      </c>
    </row>
    <row r="117" spans="1:3" x14ac:dyDescent="0.3">
      <c r="A117" s="4" t="s">
        <v>115</v>
      </c>
      <c r="B117" s="4" t="s">
        <v>116</v>
      </c>
      <c r="C117" s="8">
        <v>48000</v>
      </c>
    </row>
    <row r="118" spans="1:3" x14ac:dyDescent="0.3">
      <c r="A118" s="4" t="s">
        <v>117</v>
      </c>
      <c r="B118" s="4" t="s">
        <v>90</v>
      </c>
      <c r="C118" s="8">
        <v>52000</v>
      </c>
    </row>
    <row r="119" spans="1:3" x14ac:dyDescent="0.3">
      <c r="A119" s="4" t="s">
        <v>118</v>
      </c>
      <c r="B119" s="4" t="s">
        <v>119</v>
      </c>
      <c r="C119" s="8">
        <v>56000</v>
      </c>
    </row>
    <row r="120" spans="1:3" x14ac:dyDescent="0.3">
      <c r="A120" s="4" t="s">
        <v>120</v>
      </c>
      <c r="B120" s="4" t="s">
        <v>92</v>
      </c>
      <c r="C120" s="8">
        <v>59000</v>
      </c>
    </row>
    <row r="121" spans="1:3" x14ac:dyDescent="0.3">
      <c r="A121" s="4" t="s">
        <v>121</v>
      </c>
      <c r="B121" s="4" t="s">
        <v>96</v>
      </c>
      <c r="C121" s="8">
        <v>62000</v>
      </c>
    </row>
    <row r="122" spans="1:3" x14ac:dyDescent="0.3">
      <c r="A122" s="4" t="s">
        <v>122</v>
      </c>
      <c r="B122" s="4" t="s">
        <v>123</v>
      </c>
      <c r="C122" s="8">
        <v>68000</v>
      </c>
    </row>
    <row r="123" spans="1:3" x14ac:dyDescent="0.3">
      <c r="A123" s="4" t="s">
        <v>124</v>
      </c>
      <c r="B123" s="4" t="s">
        <v>46</v>
      </c>
      <c r="C123" s="8">
        <v>74000</v>
      </c>
    </row>
    <row r="124" spans="1:3" x14ac:dyDescent="0.3">
      <c r="A124" s="4" t="s">
        <v>125</v>
      </c>
      <c r="B124" s="4" t="s">
        <v>126</v>
      </c>
      <c r="C124" s="8">
        <v>150000</v>
      </c>
    </row>
    <row r="125" spans="1:3" x14ac:dyDescent="0.3">
      <c r="A125" s="4" t="s">
        <v>127</v>
      </c>
      <c r="B125" s="9">
        <f>MEDIAN(C117:C124)</f>
        <v>60500</v>
      </c>
      <c r="C125" s="4"/>
    </row>
    <row r="126" spans="1:3" x14ac:dyDescent="0.3">
      <c r="A126" s="4" t="s">
        <v>128</v>
      </c>
      <c r="B126" s="4" t="s">
        <v>129</v>
      </c>
      <c r="C126" s="4"/>
    </row>
    <row r="127" spans="1:3" x14ac:dyDescent="0.3">
      <c r="A127" s="4"/>
    </row>
    <row r="128" spans="1:3" x14ac:dyDescent="0.3">
      <c r="A128" s="31" t="s">
        <v>130</v>
      </c>
    </row>
    <row r="129" spans="1:4" ht="179.4" x14ac:dyDescent="0.3">
      <c r="A129" s="4" t="s">
        <v>131</v>
      </c>
    </row>
    <row r="130" spans="1:4" x14ac:dyDescent="0.3">
      <c r="A130" s="4"/>
    </row>
    <row r="131" spans="1:4" x14ac:dyDescent="0.3">
      <c r="A131" s="10" t="s">
        <v>132</v>
      </c>
      <c r="B131" s="4"/>
      <c r="C131" s="4"/>
    </row>
    <row r="132" spans="1:4" x14ac:dyDescent="0.3">
      <c r="A132" s="18">
        <v>8.2500000000000004E-2</v>
      </c>
      <c r="B132" s="4"/>
      <c r="C132" s="4"/>
    </row>
    <row r="133" spans="1:4" x14ac:dyDescent="0.3">
      <c r="A133" s="4"/>
      <c r="B133" s="4"/>
      <c r="C133" s="4"/>
    </row>
    <row r="134" spans="1:4" x14ac:dyDescent="0.3">
      <c r="A134" s="10" t="s">
        <v>46</v>
      </c>
      <c r="B134" s="10" t="s">
        <v>9</v>
      </c>
      <c r="C134" s="10" t="s">
        <v>138</v>
      </c>
      <c r="D134" s="10" t="s">
        <v>137</v>
      </c>
    </row>
    <row r="135" spans="1:4" x14ac:dyDescent="0.3">
      <c r="A135" s="4" t="s">
        <v>13</v>
      </c>
      <c r="B135" s="4">
        <v>24.99</v>
      </c>
      <c r="C135" s="5">
        <f>B135*(1+A132)</f>
        <v>27.051674999999999</v>
      </c>
      <c r="D135" s="5">
        <f>B135*(1+$A$132)</f>
        <v>27.051674999999999</v>
      </c>
    </row>
    <row r="136" spans="1:4" x14ac:dyDescent="0.3">
      <c r="A136" s="4" t="s">
        <v>133</v>
      </c>
      <c r="B136" s="4">
        <v>15.5</v>
      </c>
      <c r="C136" s="5">
        <f>B136*(1+A133)</f>
        <v>15.5</v>
      </c>
      <c r="D136" s="5">
        <f t="shared" ref="D136:D139" si="4">B136*(1+$A$132)</f>
        <v>16.778749999999999</v>
      </c>
    </row>
    <row r="137" spans="1:4" x14ac:dyDescent="0.3">
      <c r="A137" s="4" t="s">
        <v>134</v>
      </c>
      <c r="B137" s="4">
        <v>89</v>
      </c>
      <c r="C137" s="5" t="e">
        <f>B137*(1+A134)</f>
        <v>#VALUE!</v>
      </c>
      <c r="D137" s="5">
        <f t="shared" si="4"/>
        <v>96.342500000000001</v>
      </c>
    </row>
    <row r="138" spans="1:4" x14ac:dyDescent="0.3">
      <c r="A138" s="4" t="s">
        <v>135</v>
      </c>
      <c r="B138" s="4">
        <v>5.25</v>
      </c>
      <c r="C138" s="5" t="e">
        <f t="shared" ref="C138:C139" si="5">B138*(1+A135)</f>
        <v>#VALUE!</v>
      </c>
      <c r="D138" s="5">
        <f t="shared" si="4"/>
        <v>5.6831250000000004</v>
      </c>
    </row>
    <row r="139" spans="1:4" x14ac:dyDescent="0.3">
      <c r="A139" s="4" t="s">
        <v>136</v>
      </c>
      <c r="B139" s="4">
        <v>12.75</v>
      </c>
      <c r="C139" s="5" t="e">
        <f t="shared" si="5"/>
        <v>#VALUE!</v>
      </c>
      <c r="D139" s="5">
        <f t="shared" si="4"/>
        <v>13.801875000000001</v>
      </c>
    </row>
    <row r="140" spans="1:4" x14ac:dyDescent="0.3">
      <c r="A140" s="4"/>
    </row>
    <row r="141" spans="1:4" x14ac:dyDescent="0.3">
      <c r="A141" s="30" t="s">
        <v>139</v>
      </c>
    </row>
    <row r="142" spans="1:4" ht="82.8" x14ac:dyDescent="0.3">
      <c r="A142" s="4" t="s">
        <v>140</v>
      </c>
    </row>
    <row r="143" spans="1:4" x14ac:dyDescent="0.3">
      <c r="A143" s="4"/>
    </row>
    <row r="144" spans="1:4" x14ac:dyDescent="0.3">
      <c r="A144" s="10" t="s">
        <v>87</v>
      </c>
      <c r="B144" s="10" t="s">
        <v>141</v>
      </c>
      <c r="C144" s="10" t="s">
        <v>142</v>
      </c>
    </row>
    <row r="145" spans="1:3" x14ac:dyDescent="0.3">
      <c r="A145" s="4" t="s">
        <v>119</v>
      </c>
      <c r="B145" s="19">
        <v>150000</v>
      </c>
      <c r="C145" s="20">
        <f>B145/$B$150</f>
        <v>0.15</v>
      </c>
    </row>
    <row r="146" spans="1:3" x14ac:dyDescent="0.3">
      <c r="A146" s="4" t="s">
        <v>96</v>
      </c>
      <c r="B146" s="19">
        <v>400000</v>
      </c>
      <c r="C146" s="20">
        <f>B146/$B$150</f>
        <v>0.4</v>
      </c>
    </row>
    <row r="147" spans="1:3" x14ac:dyDescent="0.3">
      <c r="A147" s="4" t="s">
        <v>90</v>
      </c>
      <c r="B147" s="19">
        <v>250000</v>
      </c>
      <c r="C147" s="20">
        <f>B147/$B$150</f>
        <v>0.25</v>
      </c>
    </row>
    <row r="148" spans="1:3" x14ac:dyDescent="0.3">
      <c r="A148" s="4" t="s">
        <v>143</v>
      </c>
      <c r="B148" s="19">
        <v>180000</v>
      </c>
      <c r="C148" s="20">
        <f>B148/$B$150</f>
        <v>0.18</v>
      </c>
    </row>
    <row r="149" spans="1:3" x14ac:dyDescent="0.3">
      <c r="A149" s="4" t="s">
        <v>116</v>
      </c>
      <c r="B149" s="19">
        <v>20000</v>
      </c>
      <c r="C149" s="20">
        <f>B149/$B$150</f>
        <v>0.02</v>
      </c>
    </row>
    <row r="150" spans="1:3" x14ac:dyDescent="0.3">
      <c r="A150" s="4" t="s">
        <v>144</v>
      </c>
      <c r="B150" s="21">
        <f>SUM(B145:B149)</f>
        <v>1000000</v>
      </c>
      <c r="C150" s="14"/>
    </row>
    <row r="151" spans="1:3" x14ac:dyDescent="0.3">
      <c r="A151" s="4"/>
      <c r="B151" s="4"/>
    </row>
    <row r="152" spans="1:3" x14ac:dyDescent="0.3">
      <c r="A152" s="31" t="s">
        <v>145</v>
      </c>
      <c r="B152" s="4"/>
    </row>
    <row r="153" spans="1:3" ht="138" x14ac:dyDescent="0.3">
      <c r="A153" s="4" t="s">
        <v>146</v>
      </c>
      <c r="B153" s="4"/>
    </row>
    <row r="154" spans="1:3" x14ac:dyDescent="0.3">
      <c r="A154" s="4" t="s">
        <v>147</v>
      </c>
      <c r="B154" s="4" t="s">
        <v>148</v>
      </c>
      <c r="C154" s="5" t="str">
        <f>_xlfn.CONCAT(A154," ",B154)</f>
        <v>John Doe</v>
      </c>
    </row>
    <row r="155" spans="1:3" x14ac:dyDescent="0.3">
      <c r="A155" s="4" t="s">
        <v>149</v>
      </c>
      <c r="B155" s="4" t="s">
        <v>150</v>
      </c>
      <c r="C155" s="5" t="str">
        <f t="shared" ref="C155:C161" si="6">_xlfn.CONCAT(A155," ",B155)</f>
        <v>Nicole Rogers</v>
      </c>
    </row>
    <row r="156" spans="1:3" x14ac:dyDescent="0.3">
      <c r="A156" s="4" t="s">
        <v>151</v>
      </c>
      <c r="B156" s="4" t="s">
        <v>152</v>
      </c>
      <c r="C156" s="5" t="str">
        <f t="shared" si="6"/>
        <v>Liam Simpson</v>
      </c>
    </row>
    <row r="157" spans="1:3" x14ac:dyDescent="0.3">
      <c r="A157" s="4" t="s">
        <v>153</v>
      </c>
      <c r="B157" s="4" t="s">
        <v>154</v>
      </c>
      <c r="C157" s="5" t="str">
        <f t="shared" si="6"/>
        <v>Peter Stein</v>
      </c>
    </row>
    <row r="158" spans="1:3" x14ac:dyDescent="0.3">
      <c r="A158" s="4" t="s">
        <v>155</v>
      </c>
      <c r="B158" s="4" t="s">
        <v>156</v>
      </c>
      <c r="C158" s="5" t="str">
        <f t="shared" si="6"/>
        <v>Anthony Newton</v>
      </c>
    </row>
    <row r="159" spans="1:3" x14ac:dyDescent="0.3">
      <c r="A159" s="4" t="s">
        <v>157</v>
      </c>
      <c r="B159" s="4" t="s">
        <v>158</v>
      </c>
      <c r="C159" s="5" t="str">
        <f t="shared" si="6"/>
        <v>Lydia Ross</v>
      </c>
    </row>
    <row r="160" spans="1:3" x14ac:dyDescent="0.3">
      <c r="A160" s="4" t="s">
        <v>159</v>
      </c>
      <c r="B160" s="4" t="s">
        <v>160</v>
      </c>
      <c r="C160" s="5" t="str">
        <f t="shared" si="6"/>
        <v>Emmy Watts</v>
      </c>
    </row>
    <row r="161" spans="1:4" x14ac:dyDescent="0.3">
      <c r="A161" s="4" t="s">
        <v>161</v>
      </c>
      <c r="B161" s="4" t="s">
        <v>162</v>
      </c>
      <c r="C161" s="5" t="str">
        <f t="shared" si="6"/>
        <v>David Fraser</v>
      </c>
    </row>
    <row r="162" spans="1:4" x14ac:dyDescent="0.3">
      <c r="A162" s="4"/>
    </row>
    <row r="163" spans="1:4" x14ac:dyDescent="0.3">
      <c r="A163" s="31" t="s">
        <v>164</v>
      </c>
    </row>
    <row r="164" spans="1:4" x14ac:dyDescent="0.3">
      <c r="A164" s="4"/>
    </row>
    <row r="165" spans="1:4" x14ac:dyDescent="0.3">
      <c r="A165" s="4" t="s">
        <v>163</v>
      </c>
    </row>
    <row r="166" spans="1:4" x14ac:dyDescent="0.3">
      <c r="A166" s="4"/>
    </row>
    <row r="167" spans="1:4" ht="69" x14ac:dyDescent="0.3">
      <c r="A167" s="4" t="s">
        <v>165</v>
      </c>
    </row>
    <row r="168" spans="1:4" x14ac:dyDescent="0.3">
      <c r="A168" s="4"/>
    </row>
    <row r="169" spans="1:4" x14ac:dyDescent="0.3">
      <c r="A169" s="10" t="s">
        <v>166</v>
      </c>
      <c r="B169" s="32" t="s">
        <v>198</v>
      </c>
      <c r="C169" s="10" t="s">
        <v>167</v>
      </c>
      <c r="D169" s="32" t="s">
        <v>199</v>
      </c>
    </row>
    <row r="170" spans="1:4" x14ac:dyDescent="0.3">
      <c r="A170" s="4" t="s">
        <v>168</v>
      </c>
      <c r="B170" s="5" t="s">
        <v>169</v>
      </c>
      <c r="C170" s="4" t="s">
        <v>170</v>
      </c>
      <c r="D170" s="5" t="s">
        <v>170</v>
      </c>
    </row>
    <row r="171" spans="1:4" x14ac:dyDescent="0.3">
      <c r="A171" s="4" t="s">
        <v>171</v>
      </c>
      <c r="B171" s="5" t="s">
        <v>172</v>
      </c>
      <c r="C171" s="4" t="s">
        <v>173</v>
      </c>
      <c r="D171" s="5" t="s">
        <v>173</v>
      </c>
    </row>
    <row r="172" spans="1:4" x14ac:dyDescent="0.3">
      <c r="A172" s="4" t="s">
        <v>174</v>
      </c>
      <c r="B172" s="5" t="s">
        <v>175</v>
      </c>
      <c r="C172" s="4" t="s">
        <v>176</v>
      </c>
      <c r="D172" s="5" t="s">
        <v>176</v>
      </c>
    </row>
    <row r="173" spans="1:4" x14ac:dyDescent="0.3">
      <c r="A173" s="4" t="s">
        <v>177</v>
      </c>
      <c r="B173" s="5" t="s">
        <v>178</v>
      </c>
      <c r="C173" s="4" t="s">
        <v>179</v>
      </c>
      <c r="D173" s="5" t="s">
        <v>179</v>
      </c>
    </row>
    <row r="174" spans="1:4" x14ac:dyDescent="0.3">
      <c r="A174" s="4" t="s">
        <v>180</v>
      </c>
      <c r="B174" s="5" t="s">
        <v>181</v>
      </c>
      <c r="C174" s="4" t="s">
        <v>182</v>
      </c>
      <c r="D174" s="5" t="s">
        <v>182</v>
      </c>
    </row>
    <row r="175" spans="1:4" x14ac:dyDescent="0.3">
      <c r="A175" s="4" t="s">
        <v>183</v>
      </c>
      <c r="B175" s="5" t="s">
        <v>184</v>
      </c>
      <c r="C175" s="4" t="s">
        <v>185</v>
      </c>
      <c r="D175" s="5" t="s">
        <v>185</v>
      </c>
    </row>
    <row r="176" spans="1:4" x14ac:dyDescent="0.3">
      <c r="A176" s="4" t="s">
        <v>186</v>
      </c>
      <c r="B176" s="5" t="s">
        <v>187</v>
      </c>
      <c r="C176" s="4" t="s">
        <v>188</v>
      </c>
      <c r="D176" s="5" t="s">
        <v>188</v>
      </c>
    </row>
    <row r="177" spans="1:4" x14ac:dyDescent="0.3">
      <c r="A177" s="4" t="s">
        <v>189</v>
      </c>
      <c r="B177" s="5" t="s">
        <v>190</v>
      </c>
      <c r="C177" s="4" t="s">
        <v>191</v>
      </c>
      <c r="D177" s="5" t="s">
        <v>191</v>
      </c>
    </row>
    <row r="178" spans="1:4" x14ac:dyDescent="0.3">
      <c r="A178" s="4" t="s">
        <v>192</v>
      </c>
      <c r="B178" s="5" t="s">
        <v>193</v>
      </c>
      <c r="C178" s="4" t="s">
        <v>194</v>
      </c>
      <c r="D178" s="5" t="s">
        <v>194</v>
      </c>
    </row>
    <row r="179" spans="1:4" x14ac:dyDescent="0.3">
      <c r="A179" s="4" t="s">
        <v>195</v>
      </c>
      <c r="B179" s="5" t="s">
        <v>196</v>
      </c>
      <c r="C179" s="4" t="s">
        <v>197</v>
      </c>
      <c r="D179" s="5" t="s">
        <v>197</v>
      </c>
    </row>
    <row r="181" spans="1:4" x14ac:dyDescent="0.3">
      <c r="A181" s="31" t="s">
        <v>200</v>
      </c>
    </row>
    <row r="182" spans="1:4" ht="96.6" x14ac:dyDescent="0.3">
      <c r="A182" s="2" t="s">
        <v>201</v>
      </c>
    </row>
    <row r="183" spans="1:4" x14ac:dyDescent="0.3">
      <c r="A183" s="7" t="s">
        <v>202</v>
      </c>
      <c r="B183" s="7" t="s">
        <v>203</v>
      </c>
    </row>
    <row r="184" spans="1:4" x14ac:dyDescent="0.3">
      <c r="A184" s="4" t="s">
        <v>204</v>
      </c>
      <c r="B184" s="22" t="str">
        <f>LEFT(A184,3)</f>
        <v>FIN</v>
      </c>
    </row>
    <row r="185" spans="1:4" x14ac:dyDescent="0.3">
      <c r="A185" s="4" t="s">
        <v>205</v>
      </c>
      <c r="B185" s="22" t="str">
        <f t="shared" ref="B185:B190" si="7">LEFT(A185,3)</f>
        <v>MKT</v>
      </c>
    </row>
    <row r="186" spans="1:4" x14ac:dyDescent="0.3">
      <c r="A186" s="4" t="s">
        <v>206</v>
      </c>
      <c r="B186" s="22" t="str">
        <f t="shared" si="7"/>
        <v>OPS</v>
      </c>
    </row>
    <row r="187" spans="1:4" x14ac:dyDescent="0.3">
      <c r="A187" s="4" t="s">
        <v>207</v>
      </c>
      <c r="B187" s="22" t="str">
        <f t="shared" si="7"/>
        <v>HRD</v>
      </c>
    </row>
    <row r="188" spans="1:4" x14ac:dyDescent="0.3">
      <c r="A188" s="4" t="s">
        <v>208</v>
      </c>
      <c r="B188" s="22" t="str">
        <f t="shared" si="7"/>
        <v>ITS</v>
      </c>
    </row>
    <row r="189" spans="1:4" x14ac:dyDescent="0.3">
      <c r="A189" s="4" t="s">
        <v>209</v>
      </c>
      <c r="B189" s="22" t="str">
        <f t="shared" si="7"/>
        <v>SLS</v>
      </c>
    </row>
    <row r="190" spans="1:4" x14ac:dyDescent="0.3">
      <c r="A190" s="4" t="s">
        <v>210</v>
      </c>
      <c r="B190" s="22" t="str">
        <f t="shared" si="7"/>
        <v>ADM</v>
      </c>
    </row>
    <row r="192" spans="1:4" x14ac:dyDescent="0.3">
      <c r="A192" s="31" t="s">
        <v>217</v>
      </c>
    </row>
    <row r="193" spans="1:5" x14ac:dyDescent="0.3">
      <c r="A193" s="1" t="s">
        <v>216</v>
      </c>
    </row>
    <row r="194" spans="1:5" ht="27.6" x14ac:dyDescent="0.3">
      <c r="A194" s="2" t="s">
        <v>218</v>
      </c>
    </row>
    <row r="195" spans="1:5" x14ac:dyDescent="0.3">
      <c r="A195" s="4" t="s">
        <v>219</v>
      </c>
      <c r="B195" s="4" t="s">
        <v>220</v>
      </c>
      <c r="C195" s="4" t="s">
        <v>221</v>
      </c>
    </row>
    <row r="196" spans="1:5" x14ac:dyDescent="0.3">
      <c r="A196" s="4" t="s">
        <v>222</v>
      </c>
      <c r="B196" s="4">
        <v>96</v>
      </c>
      <c r="C196" s="22" t="str">
        <f>IF(B196&gt;60,"Pass","Fail")</f>
        <v>Pass</v>
      </c>
    </row>
    <row r="197" spans="1:5" x14ac:dyDescent="0.3">
      <c r="A197" s="4" t="s">
        <v>223</v>
      </c>
      <c r="B197" s="4">
        <v>43</v>
      </c>
      <c r="C197" s="22" t="str">
        <f t="shared" ref="C197:C200" si="8">IF(B197&gt;60,"Pass","Fail")</f>
        <v>Fail</v>
      </c>
    </row>
    <row r="198" spans="1:5" x14ac:dyDescent="0.3">
      <c r="A198" s="4" t="s">
        <v>224</v>
      </c>
      <c r="B198" s="4">
        <v>20</v>
      </c>
      <c r="C198" s="22" t="str">
        <f t="shared" si="8"/>
        <v>Fail</v>
      </c>
    </row>
    <row r="199" spans="1:5" x14ac:dyDescent="0.3">
      <c r="A199" s="4" t="s">
        <v>225</v>
      </c>
      <c r="B199" s="4">
        <v>77</v>
      </c>
      <c r="C199" s="22" t="str">
        <f t="shared" si="8"/>
        <v>Pass</v>
      </c>
    </row>
    <row r="200" spans="1:5" x14ac:dyDescent="0.3">
      <c r="A200" s="4" t="s">
        <v>226</v>
      </c>
      <c r="B200" s="4">
        <v>76</v>
      </c>
      <c r="C200" s="22" t="str">
        <f t="shared" si="8"/>
        <v>Pass</v>
      </c>
    </row>
    <row r="202" spans="1:5" ht="82.8" x14ac:dyDescent="0.3">
      <c r="A202" s="2" t="s">
        <v>227</v>
      </c>
    </row>
    <row r="203" spans="1:5" x14ac:dyDescent="0.3">
      <c r="A203" s="4" t="s">
        <v>8</v>
      </c>
      <c r="B203" s="4"/>
      <c r="C203" s="4" t="s">
        <v>228</v>
      </c>
      <c r="D203" s="4" t="s">
        <v>229</v>
      </c>
    </row>
    <row r="204" spans="1:5" x14ac:dyDescent="0.3">
      <c r="A204" s="4">
        <v>0</v>
      </c>
      <c r="B204" s="4"/>
      <c r="C204" s="4" t="s">
        <v>230</v>
      </c>
      <c r="D204" s="5" t="str">
        <f>IF(OR(AND(A2&gt;15,A2&lt;30),A2 &gt; 55),"Yes","No")</f>
        <v>No</v>
      </c>
      <c r="E204" s="1" t="str">
        <f ca="1">_xlfn.FORMULATEXT(D204)</f>
        <v>=IF(OR(AND(A2&gt;15,A2&lt;30),A2 &gt; 55),"Yes","No")</v>
      </c>
    </row>
    <row r="205" spans="1:5" x14ac:dyDescent="0.3">
      <c r="A205" s="4">
        <v>15</v>
      </c>
      <c r="B205" s="4"/>
      <c r="C205" s="4" t="s">
        <v>230</v>
      </c>
      <c r="D205" s="5" t="str">
        <f t="shared" ref="D205:D210" si="9">IF(OR(AND(A3&gt;15,A3&lt;30),A3 &gt; 55),"Yes","No")</f>
        <v>No</v>
      </c>
    </row>
    <row r="206" spans="1:5" x14ac:dyDescent="0.3">
      <c r="A206" s="4">
        <v>16</v>
      </c>
      <c r="B206" s="4"/>
      <c r="C206" s="4" t="s">
        <v>231</v>
      </c>
      <c r="D206" s="5" t="str">
        <f t="shared" si="9"/>
        <v>No</v>
      </c>
    </row>
    <row r="207" spans="1:5" x14ac:dyDescent="0.3">
      <c r="A207" s="4">
        <v>29</v>
      </c>
      <c r="B207" s="4"/>
      <c r="C207" s="4" t="s">
        <v>231</v>
      </c>
      <c r="D207" s="5" t="str">
        <f t="shared" si="9"/>
        <v>No</v>
      </c>
    </row>
    <row r="208" spans="1:5" x14ac:dyDescent="0.3">
      <c r="A208" s="4">
        <v>30</v>
      </c>
      <c r="B208" s="4"/>
      <c r="C208" s="4" t="s">
        <v>230</v>
      </c>
      <c r="D208" s="5" t="str">
        <f t="shared" si="9"/>
        <v>Yes</v>
      </c>
    </row>
    <row r="209" spans="1:5" x14ac:dyDescent="0.3">
      <c r="A209" s="4">
        <v>55</v>
      </c>
      <c r="B209" s="4"/>
      <c r="C209" s="4" t="s">
        <v>230</v>
      </c>
      <c r="D209" s="5" t="str">
        <f t="shared" si="9"/>
        <v>No</v>
      </c>
    </row>
    <row r="210" spans="1:5" x14ac:dyDescent="0.3">
      <c r="A210" s="4">
        <v>56</v>
      </c>
      <c r="B210" s="4"/>
      <c r="C210" s="4" t="s">
        <v>231</v>
      </c>
      <c r="D210" s="5" t="str">
        <f t="shared" si="9"/>
        <v>Yes</v>
      </c>
    </row>
    <row r="211" spans="1:5" x14ac:dyDescent="0.3">
      <c r="A211" s="2"/>
    </row>
    <row r="212" spans="1:5" x14ac:dyDescent="0.3">
      <c r="A212" s="31" t="s">
        <v>233</v>
      </c>
    </row>
    <row r="213" spans="1:5" x14ac:dyDescent="0.3">
      <c r="A213" s="2" t="s">
        <v>232</v>
      </c>
    </row>
    <row r="214" spans="1:5" ht="96.6" x14ac:dyDescent="0.3">
      <c r="A214" s="2" t="s">
        <v>234</v>
      </c>
    </row>
    <row r="215" spans="1:5" x14ac:dyDescent="0.3">
      <c r="A215" s="7" t="s">
        <v>235</v>
      </c>
      <c r="B215" s="7" t="s">
        <v>236</v>
      </c>
      <c r="C215" s="7" t="s">
        <v>237</v>
      </c>
      <c r="D215" s="7" t="s">
        <v>238</v>
      </c>
      <c r="E215" s="7" t="s">
        <v>251</v>
      </c>
    </row>
    <row r="216" spans="1:5" x14ac:dyDescent="0.3">
      <c r="A216" s="4" t="s">
        <v>239</v>
      </c>
      <c r="B216" s="4" t="s">
        <v>240</v>
      </c>
      <c r="C216" s="17">
        <v>35594</v>
      </c>
      <c r="D216" s="5">
        <f ca="1">DATEDIF(C216,TODAY(),"Y")</f>
        <v>29</v>
      </c>
      <c r="E216" s="5">
        <f ca="1">DATEDIF(C216,TODAY(),"M")</f>
        <v>348</v>
      </c>
    </row>
    <row r="217" spans="1:5" x14ac:dyDescent="0.3">
      <c r="A217" s="4" t="s">
        <v>241</v>
      </c>
      <c r="B217" s="4" t="s">
        <v>242</v>
      </c>
      <c r="C217" s="17">
        <v>33768</v>
      </c>
      <c r="D217" s="5">
        <f t="shared" ref="D217:D221" ca="1" si="10">DATEDIF(C217,TODAY(),"Y")</f>
        <v>34</v>
      </c>
      <c r="E217" s="5">
        <f t="shared" ref="E217:E221" ca="1" si="11">DATEDIF(C217,TODAY(),"M")</f>
        <v>408</v>
      </c>
    </row>
    <row r="218" spans="1:5" x14ac:dyDescent="0.3">
      <c r="A218" s="4" t="s">
        <v>243</v>
      </c>
      <c r="B218" s="4" t="s">
        <v>244</v>
      </c>
      <c r="C218" s="17">
        <v>31211</v>
      </c>
      <c r="D218" s="5">
        <f t="shared" ca="1" si="10"/>
        <v>41</v>
      </c>
      <c r="E218" s="5">
        <f t="shared" ca="1" si="11"/>
        <v>492</v>
      </c>
    </row>
    <row r="219" spans="1:5" x14ac:dyDescent="0.3">
      <c r="A219" s="4" t="s">
        <v>245</v>
      </c>
      <c r="B219" s="4" t="s">
        <v>246</v>
      </c>
      <c r="C219" s="17">
        <v>38151</v>
      </c>
      <c r="D219" s="5">
        <f t="shared" ca="1" si="10"/>
        <v>22</v>
      </c>
      <c r="E219" s="5">
        <f t="shared" ca="1" si="11"/>
        <v>264</v>
      </c>
    </row>
    <row r="220" spans="1:5" x14ac:dyDescent="0.3">
      <c r="A220" s="4" t="s">
        <v>247</v>
      </c>
      <c r="B220" s="4" t="s">
        <v>248</v>
      </c>
      <c r="C220" s="17">
        <v>25002</v>
      </c>
      <c r="D220" s="5">
        <f t="shared" ca="1" si="10"/>
        <v>58</v>
      </c>
      <c r="E220" s="5">
        <f t="shared" ca="1" si="11"/>
        <v>696</v>
      </c>
    </row>
    <row r="221" spans="1:5" x14ac:dyDescent="0.3">
      <c r="A221" s="4" t="s">
        <v>249</v>
      </c>
      <c r="B221" s="4" t="s">
        <v>250</v>
      </c>
      <c r="C221" s="17">
        <v>29750</v>
      </c>
      <c r="D221" s="5">
        <f t="shared" ca="1" si="10"/>
        <v>45</v>
      </c>
      <c r="E221" s="5">
        <f t="shared" ca="1" si="11"/>
        <v>540</v>
      </c>
    </row>
    <row r="223" spans="1:5" x14ac:dyDescent="0.3">
      <c r="A223" s="31" t="s">
        <v>252</v>
      </c>
    </row>
    <row r="224" spans="1:5" ht="69" x14ac:dyDescent="0.3">
      <c r="A224" s="2" t="s">
        <v>253</v>
      </c>
    </row>
    <row r="225" spans="1:3" ht="96.6" x14ac:dyDescent="0.3">
      <c r="A225" s="2" t="s">
        <v>254</v>
      </c>
    </row>
    <row r="226" spans="1:3" x14ac:dyDescent="0.3">
      <c r="A226" s="10" t="s">
        <v>255</v>
      </c>
      <c r="B226" s="10" t="s">
        <v>256</v>
      </c>
      <c r="C226" s="10" t="s">
        <v>47</v>
      </c>
    </row>
    <row r="227" spans="1:3" x14ac:dyDescent="0.3">
      <c r="A227" s="4" t="s">
        <v>257</v>
      </c>
      <c r="B227" s="4" t="s">
        <v>258</v>
      </c>
      <c r="C227" s="4" t="s">
        <v>89</v>
      </c>
    </row>
    <row r="228" spans="1:3" x14ac:dyDescent="0.3">
      <c r="A228" s="4" t="s">
        <v>259</v>
      </c>
      <c r="B228" s="4" t="s">
        <v>260</v>
      </c>
      <c r="C228" s="4" t="s">
        <v>89</v>
      </c>
    </row>
    <row r="229" spans="1:3" x14ac:dyDescent="0.3">
      <c r="A229" s="4" t="s">
        <v>261</v>
      </c>
      <c r="B229" s="4" t="s">
        <v>262</v>
      </c>
      <c r="C229" s="4" t="s">
        <v>263</v>
      </c>
    </row>
    <row r="230" spans="1:3" x14ac:dyDescent="0.3">
      <c r="A230" s="4" t="s">
        <v>264</v>
      </c>
      <c r="B230" s="4" t="s">
        <v>265</v>
      </c>
      <c r="C230" s="4" t="s">
        <v>89</v>
      </c>
    </row>
    <row r="231" spans="1:3" x14ac:dyDescent="0.3">
      <c r="A231" s="4" t="s">
        <v>266</v>
      </c>
      <c r="B231" s="4" t="s">
        <v>267</v>
      </c>
      <c r="C231" s="4" t="s">
        <v>89</v>
      </c>
    </row>
    <row r="232" spans="1:3" x14ac:dyDescent="0.3">
      <c r="A232" s="4" t="s">
        <v>268</v>
      </c>
      <c r="B232" s="4" t="s">
        <v>269</v>
      </c>
      <c r="C232" s="4" t="s">
        <v>263</v>
      </c>
    </row>
    <row r="233" spans="1:3" x14ac:dyDescent="0.3">
      <c r="A233" s="4" t="s">
        <v>270</v>
      </c>
      <c r="B233" s="4" t="s">
        <v>271</v>
      </c>
      <c r="C233" s="4" t="s">
        <v>89</v>
      </c>
    </row>
    <row r="234" spans="1:3" x14ac:dyDescent="0.3">
      <c r="A234" s="4"/>
      <c r="B234" s="4"/>
      <c r="C234" s="4"/>
    </row>
    <row r="235" spans="1:3" x14ac:dyDescent="0.3">
      <c r="A235" s="14" t="s">
        <v>272</v>
      </c>
      <c r="B235" s="4" t="s">
        <v>261</v>
      </c>
      <c r="C235" s="4"/>
    </row>
    <row r="236" spans="1:3" x14ac:dyDescent="0.3">
      <c r="A236" s="14" t="s">
        <v>47</v>
      </c>
      <c r="B236" s="5" t="str">
        <f>_xlfn.XLOOKUP(B235,A227:A233,C227:C233,0)</f>
        <v>Office equipment</v>
      </c>
      <c r="C236" s="24" t="str">
        <f ca="1">_xlfn.FORMULATEXT(B236)</f>
        <v>=XLOOKUP(B235,A227:A233,C227:C233,0)</v>
      </c>
    </row>
    <row r="237" spans="1:3" x14ac:dyDescent="0.3">
      <c r="C237" s="24"/>
    </row>
    <row r="238" spans="1:3" x14ac:dyDescent="0.3">
      <c r="A238" s="31" t="s">
        <v>274</v>
      </c>
    </row>
    <row r="239" spans="1:3" ht="69" x14ac:dyDescent="0.3">
      <c r="A239" s="2" t="s">
        <v>273</v>
      </c>
    </row>
    <row r="241" spans="1:3" x14ac:dyDescent="0.3">
      <c r="A241" s="10" t="s">
        <v>202</v>
      </c>
      <c r="B241" s="10" t="s">
        <v>275</v>
      </c>
      <c r="C241" s="10" t="s">
        <v>276</v>
      </c>
    </row>
    <row r="242" spans="1:3" x14ac:dyDescent="0.3">
      <c r="A242" s="4" t="s">
        <v>277</v>
      </c>
      <c r="B242" s="4" t="s">
        <v>278</v>
      </c>
      <c r="C242" s="4">
        <v>342</v>
      </c>
    </row>
    <row r="243" spans="1:3" x14ac:dyDescent="0.3">
      <c r="A243" s="4" t="s">
        <v>279</v>
      </c>
      <c r="B243" s="4" t="s">
        <v>280</v>
      </c>
      <c r="C243" s="4">
        <v>128</v>
      </c>
    </row>
    <row r="244" spans="1:3" x14ac:dyDescent="0.3">
      <c r="A244" s="4" t="s">
        <v>281</v>
      </c>
      <c r="B244" s="4" t="s">
        <v>282</v>
      </c>
      <c r="C244" s="4">
        <v>56</v>
      </c>
    </row>
    <row r="245" spans="1:3" x14ac:dyDescent="0.3">
      <c r="A245" s="4" t="s">
        <v>283</v>
      </c>
      <c r="B245" s="4" t="s">
        <v>284</v>
      </c>
      <c r="C245" s="4">
        <v>89</v>
      </c>
    </row>
    <row r="246" spans="1:3" x14ac:dyDescent="0.3">
      <c r="A246" s="4" t="s">
        <v>285</v>
      </c>
      <c r="B246" s="4" t="s">
        <v>286</v>
      </c>
      <c r="C246" s="4">
        <v>203</v>
      </c>
    </row>
    <row r="247" spans="1:3" x14ac:dyDescent="0.3">
      <c r="A247" s="4" t="s">
        <v>287</v>
      </c>
      <c r="B247" s="4" t="s">
        <v>288</v>
      </c>
      <c r="C247" s="4">
        <v>74</v>
      </c>
    </row>
    <row r="248" spans="1:3" x14ac:dyDescent="0.3">
      <c r="A248" s="4" t="s">
        <v>289</v>
      </c>
      <c r="B248" s="4" t="s">
        <v>290</v>
      </c>
      <c r="C248" s="4">
        <v>165</v>
      </c>
    </row>
    <row r="249" spans="1:3" x14ac:dyDescent="0.3">
      <c r="A249" s="4"/>
      <c r="B249" s="4"/>
      <c r="C249" s="4"/>
    </row>
    <row r="250" spans="1:3" x14ac:dyDescent="0.3">
      <c r="A250" s="10" t="s">
        <v>202</v>
      </c>
      <c r="B250" s="10" t="s">
        <v>275</v>
      </c>
      <c r="C250" s="10" t="s">
        <v>291</v>
      </c>
    </row>
    <row r="251" spans="1:3" x14ac:dyDescent="0.3">
      <c r="A251" s="4" t="s">
        <v>283</v>
      </c>
      <c r="B251" s="4" t="s">
        <v>284</v>
      </c>
      <c r="C251" s="5">
        <f>_xlfn.XLOOKUP(A251,A$242:A$248,$C$242:$C$248,0)</f>
        <v>89</v>
      </c>
    </row>
    <row r="252" spans="1:3" x14ac:dyDescent="0.3">
      <c r="A252" s="4" t="s">
        <v>277</v>
      </c>
      <c r="B252" s="4" t="s">
        <v>278</v>
      </c>
      <c r="C252" s="5">
        <f t="shared" ref="C252:C254" si="12">_xlfn.XLOOKUP(A252,A$242:A$248,$C$242:$C$248,0)</f>
        <v>342</v>
      </c>
    </row>
    <row r="253" spans="1:3" x14ac:dyDescent="0.3">
      <c r="A253" s="4" t="s">
        <v>289</v>
      </c>
      <c r="B253" s="4" t="s">
        <v>290</v>
      </c>
      <c r="C253" s="5">
        <f t="shared" si="12"/>
        <v>165</v>
      </c>
    </row>
    <row r="254" spans="1:3" x14ac:dyDescent="0.3">
      <c r="A254" s="4" t="s">
        <v>285</v>
      </c>
      <c r="B254" s="4" t="s">
        <v>286</v>
      </c>
      <c r="C254" s="5">
        <f t="shared" si="12"/>
        <v>203</v>
      </c>
    </row>
    <row r="256" spans="1:3" x14ac:dyDescent="0.3">
      <c r="B256" s="25" t="str">
        <f ca="1">_xlfn.FORMULATEXT(C251)</f>
        <v>=XLOOKUP(A251,A$242:A$248,$C$242:$C$248,0)</v>
      </c>
      <c r="C256" s="25"/>
    </row>
    <row r="258" spans="1:4" x14ac:dyDescent="0.3">
      <c r="A258" s="31" t="s">
        <v>292</v>
      </c>
    </row>
    <row r="259" spans="1:4" x14ac:dyDescent="0.3">
      <c r="A259" s="1" t="s">
        <v>216</v>
      </c>
    </row>
    <row r="260" spans="1:4" ht="55.2" x14ac:dyDescent="0.3">
      <c r="A260" s="2" t="s">
        <v>293</v>
      </c>
    </row>
    <row r="261" spans="1:4" x14ac:dyDescent="0.3">
      <c r="A261" s="10" t="s">
        <v>113</v>
      </c>
      <c r="B261" s="10" t="s">
        <v>294</v>
      </c>
      <c r="C261" s="10" t="s">
        <v>295</v>
      </c>
      <c r="D261" s="10" t="s">
        <v>296</v>
      </c>
    </row>
    <row r="262" spans="1:4" x14ac:dyDescent="0.3">
      <c r="A262" s="4" t="s">
        <v>297</v>
      </c>
      <c r="B262" s="19">
        <v>52000</v>
      </c>
      <c r="C262" s="19">
        <v>50000</v>
      </c>
      <c r="D262" s="23">
        <f>IF(B262&gt;C262,B262*10%,0)</f>
        <v>5200</v>
      </c>
    </row>
    <row r="263" spans="1:4" x14ac:dyDescent="0.3">
      <c r="A263" s="4" t="s">
        <v>298</v>
      </c>
      <c r="B263" s="19">
        <v>48000</v>
      </c>
      <c r="C263" s="19">
        <v>50000</v>
      </c>
      <c r="D263" s="23">
        <f t="shared" ref="D263:D268" si="13">IF(B263&gt;C263,B263*10%,0)</f>
        <v>0</v>
      </c>
    </row>
    <row r="264" spans="1:4" x14ac:dyDescent="0.3">
      <c r="A264" s="4" t="s">
        <v>299</v>
      </c>
      <c r="B264" s="19">
        <v>50000</v>
      </c>
      <c r="C264" s="19">
        <v>50000</v>
      </c>
      <c r="D264" s="23">
        <f t="shared" si="13"/>
        <v>0</v>
      </c>
    </row>
    <row r="265" spans="1:4" x14ac:dyDescent="0.3">
      <c r="A265" s="4" t="s">
        <v>225</v>
      </c>
      <c r="B265" s="19">
        <v>61000</v>
      </c>
      <c r="C265" s="19">
        <v>60000</v>
      </c>
      <c r="D265" s="23">
        <f t="shared" si="13"/>
        <v>6100</v>
      </c>
    </row>
    <row r="266" spans="1:4" x14ac:dyDescent="0.3">
      <c r="A266" s="4" t="s">
        <v>300</v>
      </c>
      <c r="B266" s="19">
        <v>39900</v>
      </c>
      <c r="C266" s="19">
        <v>35000</v>
      </c>
      <c r="D266" s="23">
        <f t="shared" si="13"/>
        <v>3990</v>
      </c>
    </row>
    <row r="267" spans="1:4" x14ac:dyDescent="0.3">
      <c r="A267" s="4" t="s">
        <v>301</v>
      </c>
      <c r="B267" s="19">
        <v>27500</v>
      </c>
      <c r="C267" s="19">
        <v>30000</v>
      </c>
      <c r="D267" s="23">
        <f t="shared" si="13"/>
        <v>0</v>
      </c>
    </row>
    <row r="268" spans="1:4" x14ac:dyDescent="0.3">
      <c r="A268" s="4" t="s">
        <v>302</v>
      </c>
      <c r="B268" s="19">
        <v>74500</v>
      </c>
      <c r="C268" s="19">
        <v>70000</v>
      </c>
      <c r="D268" s="23">
        <f t="shared" si="13"/>
        <v>7450</v>
      </c>
    </row>
    <row r="269" spans="1:4" x14ac:dyDescent="0.3">
      <c r="D269" s="1" t="str">
        <f ca="1">_xlfn.FORMULATEXT(D262)</f>
        <v>=IF(B262&gt;C262,B262*10%,0)</v>
      </c>
    </row>
    <row r="270" spans="1:4" x14ac:dyDescent="0.3">
      <c r="A270" s="31" t="s">
        <v>303</v>
      </c>
    </row>
    <row r="271" spans="1:4" x14ac:dyDescent="0.3">
      <c r="A271" s="16" t="s">
        <v>216</v>
      </c>
    </row>
    <row r="272" spans="1:4" ht="69" x14ac:dyDescent="0.3">
      <c r="A272" s="2" t="s">
        <v>304</v>
      </c>
    </row>
    <row r="274" spans="1:4" x14ac:dyDescent="0.3">
      <c r="A274" s="10" t="s">
        <v>305</v>
      </c>
      <c r="B274" s="10" t="s">
        <v>306</v>
      </c>
      <c r="C274" s="10" t="s">
        <v>295</v>
      </c>
      <c r="D274" s="10" t="s">
        <v>307</v>
      </c>
    </row>
    <row r="275" spans="1:4" x14ac:dyDescent="0.3">
      <c r="A275" s="4" t="s">
        <v>297</v>
      </c>
      <c r="B275" s="19">
        <v>12500</v>
      </c>
      <c r="C275" s="19">
        <v>12000</v>
      </c>
      <c r="D275" s="5" t="str">
        <f>IF(B275&gt;=C275,"On Target","Below Target")</f>
        <v>On Target</v>
      </c>
    </row>
    <row r="276" spans="1:4" x14ac:dyDescent="0.3">
      <c r="A276" s="4" t="s">
        <v>298</v>
      </c>
      <c r="B276" s="19">
        <v>9800</v>
      </c>
      <c r="C276" s="19">
        <v>11000</v>
      </c>
      <c r="D276" s="5" t="str">
        <f t="shared" ref="D276:D281" si="14">IF(B276&gt;=C276,"On Target","Below Target")</f>
        <v>Below Target</v>
      </c>
    </row>
    <row r="277" spans="1:4" x14ac:dyDescent="0.3">
      <c r="A277" s="4" t="s">
        <v>299</v>
      </c>
      <c r="B277" s="19">
        <v>15000</v>
      </c>
      <c r="C277" s="19">
        <v>15000</v>
      </c>
      <c r="D277" s="5" t="str">
        <f t="shared" si="14"/>
        <v>On Target</v>
      </c>
    </row>
    <row r="278" spans="1:4" x14ac:dyDescent="0.3">
      <c r="A278" s="4" t="s">
        <v>225</v>
      </c>
      <c r="B278" s="19">
        <v>7200</v>
      </c>
      <c r="C278" s="19">
        <v>7000</v>
      </c>
      <c r="D278" s="5" t="str">
        <f t="shared" si="14"/>
        <v>On Target</v>
      </c>
    </row>
    <row r="279" spans="1:4" x14ac:dyDescent="0.3">
      <c r="A279" s="4" t="s">
        <v>300</v>
      </c>
      <c r="B279" s="19">
        <v>6400</v>
      </c>
      <c r="C279" s="19">
        <v>8000</v>
      </c>
      <c r="D279" s="5" t="str">
        <f t="shared" si="14"/>
        <v>Below Target</v>
      </c>
    </row>
    <row r="280" spans="1:4" x14ac:dyDescent="0.3">
      <c r="A280" s="4" t="s">
        <v>301</v>
      </c>
      <c r="B280" s="19">
        <v>18300</v>
      </c>
      <c r="C280" s="19">
        <v>17500</v>
      </c>
      <c r="D280" s="5" t="str">
        <f t="shared" si="14"/>
        <v>On Target</v>
      </c>
    </row>
    <row r="281" spans="1:4" x14ac:dyDescent="0.3">
      <c r="A281" s="4" t="s">
        <v>302</v>
      </c>
      <c r="B281" s="19">
        <v>10500</v>
      </c>
      <c r="C281" s="19">
        <v>10000</v>
      </c>
      <c r="D281" s="5" t="str">
        <f t="shared" si="14"/>
        <v>On Target</v>
      </c>
    </row>
    <row r="283" spans="1:4" x14ac:dyDescent="0.3">
      <c r="A283" s="31" t="s">
        <v>308</v>
      </c>
      <c r="D283" s="1" t="str">
        <f ca="1">_xlfn.FORMULATEXT(D275)</f>
        <v>=IF(B275&gt;=C275,"On Target","Below Target")</v>
      </c>
    </row>
    <row r="284" spans="1:4" x14ac:dyDescent="0.3">
      <c r="A284" s="2" t="s">
        <v>318</v>
      </c>
    </row>
    <row r="285" spans="1:4" x14ac:dyDescent="0.3">
      <c r="A285" s="2" t="s">
        <v>319</v>
      </c>
    </row>
    <row r="286" spans="1:4" x14ac:dyDescent="0.3">
      <c r="A286" s="2" t="s">
        <v>320</v>
      </c>
    </row>
    <row r="287" spans="1:4" x14ac:dyDescent="0.3">
      <c r="A287" s="2" t="s">
        <v>321</v>
      </c>
    </row>
    <row r="288" spans="1:4" x14ac:dyDescent="0.3">
      <c r="A288" s="2" t="s">
        <v>322</v>
      </c>
    </row>
    <row r="289" spans="1:5" x14ac:dyDescent="0.3">
      <c r="A289" s="2" t="s">
        <v>309</v>
      </c>
    </row>
    <row r="290" spans="1:5" x14ac:dyDescent="0.3">
      <c r="A290" s="2" t="s">
        <v>323</v>
      </c>
    </row>
    <row r="291" spans="1:5" x14ac:dyDescent="0.3">
      <c r="A291" s="2" t="s">
        <v>324</v>
      </c>
    </row>
    <row r="292" spans="1:5" x14ac:dyDescent="0.3">
      <c r="A292" s="2" t="s">
        <v>325</v>
      </c>
    </row>
    <row r="294" spans="1:5" x14ac:dyDescent="0.3">
      <c r="A294" s="10" t="s">
        <v>310</v>
      </c>
      <c r="B294" s="10" t="s">
        <v>311</v>
      </c>
      <c r="C294" s="10" t="s">
        <v>312</v>
      </c>
      <c r="D294" s="10" t="s">
        <v>313</v>
      </c>
    </row>
    <row r="295" spans="1:5" x14ac:dyDescent="0.3">
      <c r="A295" s="4" t="s">
        <v>314</v>
      </c>
      <c r="B295" s="19">
        <v>120000</v>
      </c>
      <c r="C295" s="19">
        <v>135000</v>
      </c>
      <c r="D295" s="20">
        <f>(C295-B295)/B295</f>
        <v>0.125</v>
      </c>
      <c r="E295" s="1" t="str">
        <f ca="1">_xlfn.FORMULATEXT(D295)</f>
        <v>=(C295-B295)/B295</v>
      </c>
    </row>
    <row r="296" spans="1:5" x14ac:dyDescent="0.3">
      <c r="A296" s="4" t="s">
        <v>315</v>
      </c>
      <c r="B296" s="19">
        <v>145000</v>
      </c>
      <c r="C296" s="19">
        <v>160000</v>
      </c>
      <c r="D296" s="20">
        <f t="shared" ref="D296:D299" si="15">(C296-B296)/B296</f>
        <v>0.10344827586206896</v>
      </c>
    </row>
    <row r="297" spans="1:5" x14ac:dyDescent="0.3">
      <c r="A297" s="4" t="s">
        <v>316</v>
      </c>
      <c r="B297" s="19">
        <v>130000</v>
      </c>
      <c r="C297" s="19">
        <v>125000</v>
      </c>
      <c r="D297" s="20">
        <f t="shared" si="15"/>
        <v>-3.8461538461538464E-2</v>
      </c>
    </row>
    <row r="298" spans="1:5" x14ac:dyDescent="0.3">
      <c r="A298" s="4" t="s">
        <v>317</v>
      </c>
      <c r="B298" s="19">
        <v>155000</v>
      </c>
      <c r="C298" s="19">
        <v>170000</v>
      </c>
      <c r="D298" s="20">
        <f t="shared" si="15"/>
        <v>9.6774193548387094E-2</v>
      </c>
    </row>
    <row r="299" spans="1:5" x14ac:dyDescent="0.3">
      <c r="A299" s="14" t="s">
        <v>26</v>
      </c>
      <c r="B299" s="21">
        <f>SUM(B295:B298)</f>
        <v>550000</v>
      </c>
      <c r="C299" s="21">
        <f>SUM(C295:C298)</f>
        <v>590000</v>
      </c>
      <c r="D299" s="20">
        <f t="shared" si="15"/>
        <v>7.2727272727272724E-2</v>
      </c>
    </row>
    <row r="301" spans="1:5" x14ac:dyDescent="0.3">
      <c r="A301" s="31" t="s">
        <v>326</v>
      </c>
    </row>
    <row r="302" spans="1:5" x14ac:dyDescent="0.3">
      <c r="A302" s="4" t="s">
        <v>346</v>
      </c>
    </row>
    <row r="303" spans="1:5" x14ac:dyDescent="0.3">
      <c r="A303" s="33"/>
    </row>
    <row r="304" spans="1:5" x14ac:dyDescent="0.3">
      <c r="A304" s="33" t="s">
        <v>347</v>
      </c>
    </row>
    <row r="305" spans="1:7" x14ac:dyDescent="0.3">
      <c r="A305" s="33" t="s">
        <v>348</v>
      </c>
    </row>
    <row r="306" spans="1:7" x14ac:dyDescent="0.3">
      <c r="A306" s="16"/>
    </row>
    <row r="307" spans="1:7" x14ac:dyDescent="0.3">
      <c r="A307" s="4" t="s">
        <v>327</v>
      </c>
    </row>
    <row r="308" spans="1:7" x14ac:dyDescent="0.3">
      <c r="A308" s="33"/>
    </row>
    <row r="309" spans="1:7" x14ac:dyDescent="0.3">
      <c r="A309" s="33" t="s">
        <v>349</v>
      </c>
    </row>
    <row r="310" spans="1:7" x14ac:dyDescent="0.3">
      <c r="A310" s="33" t="s">
        <v>350</v>
      </c>
    </row>
    <row r="311" spans="1:7" x14ac:dyDescent="0.3">
      <c r="A311" s="33" t="s">
        <v>351</v>
      </c>
    </row>
    <row r="312" spans="1:7" x14ac:dyDescent="0.3">
      <c r="A312" s="34" t="s">
        <v>328</v>
      </c>
    </row>
    <row r="314" spans="1:7" x14ac:dyDescent="0.3">
      <c r="A314" s="7" t="s">
        <v>329</v>
      </c>
      <c r="B314" s="7" t="s">
        <v>330</v>
      </c>
      <c r="C314" s="7" t="s">
        <v>9</v>
      </c>
      <c r="D314" s="7" t="s">
        <v>8</v>
      </c>
      <c r="E314" s="7" t="s">
        <v>331</v>
      </c>
      <c r="F314" s="7"/>
    </row>
    <row r="315" spans="1:7" x14ac:dyDescent="0.3">
      <c r="A315" s="4" t="s">
        <v>332</v>
      </c>
      <c r="B315" s="4" t="s">
        <v>333</v>
      </c>
      <c r="C315" s="4">
        <v>25.2</v>
      </c>
      <c r="D315" s="4">
        <v>100</v>
      </c>
      <c r="E315" s="4" t="s">
        <v>334</v>
      </c>
      <c r="F315" s="5">
        <f>SUMPRODUCT(D315:D322)</f>
        <v>700</v>
      </c>
      <c r="G315" s="1" t="str">
        <f ca="1">_xlfn.FORMULATEXT(F315)</f>
        <v>=SUMPRODUCT(D315:D322)</v>
      </c>
    </row>
    <row r="316" spans="1:7" x14ac:dyDescent="0.3">
      <c r="A316" s="4" t="s">
        <v>335</v>
      </c>
      <c r="B316" s="4" t="s">
        <v>336</v>
      </c>
      <c r="C316" s="4">
        <v>24.2</v>
      </c>
      <c r="D316" s="4">
        <v>120</v>
      </c>
      <c r="E316" s="4" t="s">
        <v>337</v>
      </c>
      <c r="F316" s="5" cm="1">
        <f t="array" ref="F316">SUMPRODUCT(C315:C322*D315:D322)</f>
        <v>16947</v>
      </c>
    </row>
    <row r="317" spans="1:7" x14ac:dyDescent="0.3">
      <c r="A317" s="4" t="s">
        <v>338</v>
      </c>
      <c r="B317" s="4" t="s">
        <v>339</v>
      </c>
      <c r="C317" s="4">
        <v>23.75</v>
      </c>
      <c r="D317" s="4">
        <v>80</v>
      </c>
      <c r="E317" s="4" t="s">
        <v>340</v>
      </c>
      <c r="F317" s="5">
        <f>F316/F315</f>
        <v>24.21</v>
      </c>
    </row>
    <row r="318" spans="1:7" x14ac:dyDescent="0.3">
      <c r="A318" s="4" t="s">
        <v>341</v>
      </c>
      <c r="B318" s="4" t="s">
        <v>333</v>
      </c>
      <c r="C318" s="4">
        <v>24.1</v>
      </c>
      <c r="D318" s="4">
        <v>150</v>
      </c>
      <c r="E318" s="4"/>
      <c r="F318" s="4"/>
      <c r="G318" s="4"/>
    </row>
    <row r="319" spans="1:7" x14ac:dyDescent="0.3">
      <c r="A319" s="4" t="s">
        <v>342</v>
      </c>
      <c r="B319" s="4" t="s">
        <v>336</v>
      </c>
      <c r="C319" s="4">
        <v>23.9</v>
      </c>
      <c r="D319" s="4">
        <v>60</v>
      </c>
      <c r="E319" s="4"/>
      <c r="F319" s="4"/>
      <c r="G319" s="4"/>
    </row>
    <row r="320" spans="1:7" x14ac:dyDescent="0.3">
      <c r="A320" s="4" t="s">
        <v>343</v>
      </c>
      <c r="B320" s="4" t="s">
        <v>339</v>
      </c>
      <c r="C320" s="4">
        <v>24.8</v>
      </c>
      <c r="D320" s="4">
        <v>40</v>
      </c>
      <c r="E320" s="4"/>
      <c r="F320" s="4"/>
      <c r="G320" s="4"/>
    </row>
    <row r="321" spans="1:7" x14ac:dyDescent="0.3">
      <c r="A321" s="4" t="s">
        <v>344</v>
      </c>
      <c r="B321" s="4" t="s">
        <v>333</v>
      </c>
      <c r="C321" s="4">
        <v>23.6</v>
      </c>
      <c r="D321" s="4">
        <v>90</v>
      </c>
      <c r="E321" s="4"/>
      <c r="F321" s="4"/>
      <c r="G321" s="4"/>
    </row>
    <row r="322" spans="1:7" x14ac:dyDescent="0.3">
      <c r="A322" s="4" t="s">
        <v>345</v>
      </c>
      <c r="B322" s="4" t="s">
        <v>336</v>
      </c>
      <c r="C322" s="4">
        <v>24.3</v>
      </c>
      <c r="D322" s="4">
        <v>60</v>
      </c>
      <c r="E322" s="4"/>
      <c r="F322" s="4"/>
      <c r="G322" s="4"/>
    </row>
  </sheetData>
  <mergeCells count="2">
    <mergeCell ref="C236:C237"/>
    <mergeCell ref="B256:C25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2026-06-16T07:26:05Z</dcterms:modified>
</cp:coreProperties>
</file>