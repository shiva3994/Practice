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147" documentId="11_F25DC773A252ABDACC1048BD89DC52D45ADE58EF" xr6:coauthVersionLast="47" xr6:coauthVersionMax="47" xr10:uidLastSave="{0E23443A-AE84-4B33-A2AA-165C664DDBAA}"/>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462" i="1" l="1"/>
  <c r="B461" i="1"/>
  <c r="G439" i="1"/>
  <c r="G436" i="1"/>
  <c r="G434" i="1"/>
  <c r="G435" i="1"/>
  <c r="G437" i="1"/>
  <c r="G438" i="1"/>
  <c r="G433" i="1"/>
  <c r="C425" i="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464" i="1"/>
  <c r="G441" i="1"/>
  <c r="D269" i="1"/>
  <c r="D283" i="1"/>
  <c r="E204" i="1"/>
  <c r="C427" i="1"/>
  <c r="B411" i="1"/>
  <c r="G315" i="1"/>
  <c r="C343" i="1"/>
  <c r="D385" i="1"/>
  <c r="C236" i="1"/>
  <c r="B256" i="1"/>
  <c r="E295" i="1"/>
  <c r="C359" i="1"/>
  <c r="D299" i="1" l="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<sst xmlns="http://schemas.openxmlformats.org/spreadsheetml/2006/main" count="631" uniqueCount="506">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</sst>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4"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s>
  <fills count="14">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s>
  <borders count="1">
    <border>
      <left/>
      <right/>
      <top/>
      <bottom/>
      <diagonal/>
    </border>
  </borders>
  <cellStyleXfs count="1">
    <xf numFmtId="0" fontId="0" fillId="0" borderId="0"/>
  </cellStyleXfs>
  <cellXfs count="40">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64"/>
  <sheetViews>
    <sheetView tabSelected="1" topLeftCell="A444" workbookViewId="0">
      <selection activeCell="A450" sqref="A450"/>
    </sheetView>
  </sheetViews>
  <sheetFormatPr defaultRowHeight="13.8" x14ac:dyDescent="0.3"/>
  <cols>
    <col min="1" max="1" width="149.88671875" style="1" bestFit="1" customWidth="1"/>
    <col min="2" max="2" width="30.109375" style="1" customWidth="1"/>
    <col min="3"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4" t="s">
        <v>0</v>
      </c>
      <c r="B1" s="25"/>
      <c r="C1" s="25"/>
      <c r="D1" s="25"/>
      <c r="E1" s="25"/>
      <c r="F1" s="25"/>
      <c r="G1" s="25"/>
      <c r="H1" s="25"/>
      <c r="I1" s="25"/>
      <c r="J1" s="25"/>
    </row>
    <row r="3" spans="1:23" x14ac:dyDescent="0.3">
      <c r="B3" s="1">
        <f>32+57</f>
        <v>89</v>
      </c>
    </row>
    <row r="6" spans="1:23" x14ac:dyDescent="0.3">
      <c r="A6" s="26"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6" t="s">
        <v>28</v>
      </c>
      <c r="B16" s="27"/>
      <c r="C16" s="27"/>
      <c r="D16" s="27"/>
      <c r="E16" s="27"/>
      <c r="F16" s="27"/>
      <c r="G16" s="27"/>
      <c r="H16" s="27"/>
      <c r="I16" s="27"/>
      <c r="J16" s="27"/>
      <c r="K16" s="27"/>
      <c r="L16" s="27"/>
      <c r="M16" s="27"/>
      <c r="N16" s="27"/>
      <c r="O16" s="27"/>
      <c r="P16" s="27"/>
      <c r="Q16" s="27"/>
      <c r="R16" s="27"/>
      <c r="S16" s="27"/>
      <c r="T16" s="27"/>
      <c r="U16" s="27"/>
      <c r="V16" s="27"/>
      <c r="W16" s="27"/>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6" t="s">
        <v>212</v>
      </c>
      <c r="B26" s="27"/>
      <c r="C26" s="27"/>
      <c r="D26" s="27"/>
      <c r="E26" s="27"/>
      <c r="F26" s="27"/>
      <c r="G26" s="27"/>
      <c r="H26" s="27"/>
      <c r="I26" s="27"/>
      <c r="J26" s="27"/>
      <c r="K26" s="27"/>
      <c r="L26" s="27"/>
      <c r="M26" s="27"/>
      <c r="N26" s="27"/>
      <c r="O26" s="27"/>
      <c r="P26" s="27"/>
      <c r="Q26" s="27"/>
      <c r="R26" s="27"/>
      <c r="S26" s="27"/>
      <c r="T26" s="27"/>
      <c r="U26" s="27"/>
      <c r="V26" s="27"/>
      <c r="W26" s="27"/>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6"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28"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28"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28"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28"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28"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28"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29"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28"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29"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29"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0" t="s">
        <v>198</v>
      </c>
      <c r="C169" s="10" t="s">
        <v>167</v>
      </c>
      <c r="D169" s="30"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29"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29"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29"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29"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35" t="str">
        <f ca="1">_xlfn.FORMULATEXT(B236)</f>
        <v>=XLOOKUP(B235,A227:A233,C227:C233,0)</v>
      </c>
    </row>
    <row r="237" spans="1:3" x14ac:dyDescent="0.3">
      <c r="C237" s="35"/>
    </row>
    <row r="238" spans="1:3" x14ac:dyDescent="0.3">
      <c r="A238" s="29"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36" t="str">
        <f ca="1">_xlfn.FORMULATEXT(C251)</f>
        <v>=XLOOKUP(A251,A$242:A$248,$C$242:$C$248,0)</v>
      </c>
      <c r="C256" s="36"/>
    </row>
    <row r="258" spans="1:4" x14ac:dyDescent="0.3">
      <c r="A258" s="29"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29"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29"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29" t="s">
        <v>326</v>
      </c>
    </row>
    <row r="302" spans="1:5" x14ac:dyDescent="0.3">
      <c r="A302" s="4" t="s">
        <v>346</v>
      </c>
    </row>
    <row r="303" spans="1:5" x14ac:dyDescent="0.3">
      <c r="A303" s="31"/>
    </row>
    <row r="304" spans="1:5" x14ac:dyDescent="0.3">
      <c r="A304" s="31" t="s">
        <v>347</v>
      </c>
    </row>
    <row r="305" spans="1:7" x14ac:dyDescent="0.3">
      <c r="A305" s="31" t="s">
        <v>348</v>
      </c>
    </row>
    <row r="306" spans="1:7" x14ac:dyDescent="0.3">
      <c r="A306" s="16"/>
    </row>
    <row r="307" spans="1:7" x14ac:dyDescent="0.3">
      <c r="A307" s="4" t="s">
        <v>327</v>
      </c>
    </row>
    <row r="308" spans="1:7" x14ac:dyDescent="0.3">
      <c r="A308" s="31"/>
    </row>
    <row r="309" spans="1:7" x14ac:dyDescent="0.3">
      <c r="A309" s="31" t="s">
        <v>349</v>
      </c>
    </row>
    <row r="310" spans="1:7" x14ac:dyDescent="0.3">
      <c r="A310" s="31" t="s">
        <v>350</v>
      </c>
    </row>
    <row r="311" spans="1:7" x14ac:dyDescent="0.3">
      <c r="A311" s="31" t="s">
        <v>351</v>
      </c>
    </row>
    <row r="312" spans="1:7" x14ac:dyDescent="0.3">
      <c r="A312" s="32"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row r="324" spans="1:7" x14ac:dyDescent="0.3">
      <c r="A324" s="29" t="s">
        <v>352</v>
      </c>
    </row>
    <row r="325" spans="1:7" x14ac:dyDescent="0.3">
      <c r="A325" s="16" t="s">
        <v>353</v>
      </c>
    </row>
    <row r="326" spans="1:7" x14ac:dyDescent="0.3">
      <c r="A326" s="31" t="s">
        <v>365</v>
      </c>
    </row>
    <row r="327" spans="1:7" x14ac:dyDescent="0.3">
      <c r="A327" s="31" t="s">
        <v>366</v>
      </c>
    </row>
    <row r="328" spans="1:7" x14ac:dyDescent="0.3">
      <c r="A328" s="31" t="s">
        <v>367</v>
      </c>
    </row>
    <row r="329" spans="1:7" x14ac:dyDescent="0.3">
      <c r="A329" s="31" t="s">
        <v>368</v>
      </c>
    </row>
    <row r="330" spans="1:7" x14ac:dyDescent="0.3">
      <c r="A330" s="31" t="s">
        <v>369</v>
      </c>
    </row>
    <row r="331" spans="1:7" x14ac:dyDescent="0.3">
      <c r="A331" s="31" t="s">
        <v>370</v>
      </c>
    </row>
    <row r="333" spans="1:7" x14ac:dyDescent="0.3">
      <c r="A333" s="4" t="s">
        <v>354</v>
      </c>
      <c r="B333" s="4"/>
    </row>
    <row r="334" spans="1:7" x14ac:dyDescent="0.3">
      <c r="A334" s="7" t="s">
        <v>235</v>
      </c>
      <c r="B334" s="7" t="s">
        <v>87</v>
      </c>
    </row>
    <row r="335" spans="1:7" x14ac:dyDescent="0.3">
      <c r="A335" s="4">
        <v>1040</v>
      </c>
      <c r="B335" s="4" t="s">
        <v>92</v>
      </c>
    </row>
    <row r="336" spans="1:7" x14ac:dyDescent="0.3">
      <c r="A336" s="4">
        <v>1042</v>
      </c>
      <c r="B336" s="4" t="s">
        <v>116</v>
      </c>
    </row>
    <row r="337" spans="1:3" x14ac:dyDescent="0.3">
      <c r="A337" s="4">
        <v>1051</v>
      </c>
      <c r="B337" s="4" t="s">
        <v>355</v>
      </c>
    </row>
    <row r="338" spans="1:3" x14ac:dyDescent="0.3">
      <c r="A338" s="4">
        <v>1063</v>
      </c>
      <c r="B338" s="4" t="s">
        <v>90</v>
      </c>
    </row>
    <row r="339" spans="1:3" x14ac:dyDescent="0.3">
      <c r="A339" s="4">
        <v>1038</v>
      </c>
      <c r="B339" s="4" t="s">
        <v>356</v>
      </c>
    </row>
    <row r="340" spans="1:3" x14ac:dyDescent="0.3">
      <c r="A340" s="4"/>
      <c r="B340" s="4"/>
    </row>
    <row r="341" spans="1:3" x14ac:dyDescent="0.3">
      <c r="A341" s="4" t="s">
        <v>357</v>
      </c>
      <c r="B341" s="4"/>
    </row>
    <row r="342" spans="1:3" x14ac:dyDescent="0.3">
      <c r="A342" s="7" t="s">
        <v>235</v>
      </c>
      <c r="B342" s="7" t="s">
        <v>358</v>
      </c>
    </row>
    <row r="343" spans="1:3" x14ac:dyDescent="0.3">
      <c r="A343" s="4">
        <v>1042</v>
      </c>
      <c r="B343" s="5" t="str">
        <f>VLOOKUP(A343,$A$335:$B$339,2,0)</f>
        <v>HR</v>
      </c>
      <c r="C343" s="1" t="str">
        <f ca="1">_xlfn.FORMULATEXT(B343)</f>
        <v>=VLOOKUP(A343,$A$335:$B$339,2,0)</v>
      </c>
    </row>
    <row r="344" spans="1:3" x14ac:dyDescent="0.3">
      <c r="A344" s="4">
        <v>1038</v>
      </c>
      <c r="B344" s="5" t="str">
        <f t="shared" ref="B344:B346" si="16">VLOOKUP(A344,$A$335:$B$339,2,0)</f>
        <v>Payroll</v>
      </c>
    </row>
    <row r="345" spans="1:3" x14ac:dyDescent="0.3">
      <c r="A345" s="4">
        <v>1051</v>
      </c>
      <c r="B345" s="5" t="str">
        <f t="shared" si="16"/>
        <v>IT</v>
      </c>
    </row>
    <row r="346" spans="1:3" x14ac:dyDescent="0.3">
      <c r="A346" s="4">
        <v>1040</v>
      </c>
      <c r="B346" s="5" t="str">
        <f t="shared" si="16"/>
        <v>Finance</v>
      </c>
    </row>
    <row r="347" spans="1:3" x14ac:dyDescent="0.3">
      <c r="A347" s="4"/>
    </row>
    <row r="348" spans="1:3" x14ac:dyDescent="0.3">
      <c r="A348" s="29" t="s">
        <v>360</v>
      </c>
    </row>
    <row r="349" spans="1:3" x14ac:dyDescent="0.3">
      <c r="A349" s="16" t="s">
        <v>359</v>
      </c>
    </row>
    <row r="350" spans="1:3" x14ac:dyDescent="0.3">
      <c r="A350" s="31" t="s">
        <v>371</v>
      </c>
    </row>
    <row r="351" spans="1:3" x14ac:dyDescent="0.3">
      <c r="A351" s="31" t="s">
        <v>372</v>
      </c>
    </row>
    <row r="352" spans="1:3" x14ac:dyDescent="0.3">
      <c r="A352" s="31" t="s">
        <v>361</v>
      </c>
    </row>
    <row r="353" spans="1:5" x14ac:dyDescent="0.3">
      <c r="A353" s="31" t="s">
        <v>373</v>
      </c>
    </row>
    <row r="355" spans="1:5" x14ac:dyDescent="0.3">
      <c r="A355" s="7" t="s">
        <v>362</v>
      </c>
      <c r="B355" s="7" t="s">
        <v>314</v>
      </c>
      <c r="C355" s="7" t="s">
        <v>315</v>
      </c>
      <c r="D355" s="7" t="s">
        <v>316</v>
      </c>
      <c r="E355" s="7" t="s">
        <v>317</v>
      </c>
    </row>
    <row r="356" spans="1:5" x14ac:dyDescent="0.3">
      <c r="A356" s="4" t="s">
        <v>363</v>
      </c>
      <c r="B356" s="4">
        <v>85000</v>
      </c>
      <c r="C356" s="4">
        <v>95000</v>
      </c>
      <c r="D356" s="4">
        <v>110000</v>
      </c>
      <c r="E356" s="4">
        <v>120000</v>
      </c>
    </row>
    <row r="357" spans="1:5" x14ac:dyDescent="0.3">
      <c r="C357" s="4"/>
      <c r="D357" s="4"/>
      <c r="E357" s="4"/>
    </row>
    <row r="358" spans="1:5" x14ac:dyDescent="0.3">
      <c r="A358" s="1" t="s">
        <v>310</v>
      </c>
      <c r="B358" s="1" t="s">
        <v>316</v>
      </c>
      <c r="C358" s="5">
        <f>HLOOKUP(B358,A355:E356,2,0)</f>
        <v>110000</v>
      </c>
      <c r="D358" s="4"/>
      <c r="E358" s="4"/>
    </row>
    <row r="359" spans="1:5" ht="26.4" customHeight="1" x14ac:dyDescent="0.3">
      <c r="A359" s="1" t="s">
        <v>364</v>
      </c>
      <c r="C359" s="35" t="str">
        <f ca="1">_xlfn.FORMULATEXT(C358)</f>
        <v>=HLOOKUP(B358,A355:E356,2,0)</v>
      </c>
      <c r="D359" s="4"/>
      <c r="E359" s="4"/>
    </row>
    <row r="360" spans="1:5" x14ac:dyDescent="0.3">
      <c r="C360" s="35"/>
    </row>
    <row r="362" spans="1:5" x14ac:dyDescent="0.3">
      <c r="A362" s="29" t="s">
        <v>374</v>
      </c>
    </row>
    <row r="363" spans="1:5" x14ac:dyDescent="0.3">
      <c r="A363" s="1" t="s">
        <v>375</v>
      </c>
    </row>
    <row r="364" spans="1:5" x14ac:dyDescent="0.3">
      <c r="A364" s="31" t="s">
        <v>396</v>
      </c>
    </row>
    <row r="365" spans="1:5" x14ac:dyDescent="0.3">
      <c r="A365" s="31" t="s">
        <v>397</v>
      </c>
    </row>
    <row r="367" spans="1:5" x14ac:dyDescent="0.3">
      <c r="A367" s="4" t="s">
        <v>398</v>
      </c>
    </row>
    <row r="368" spans="1:5" x14ac:dyDescent="0.3">
      <c r="A368" s="16"/>
    </row>
    <row r="369" spans="1:8" x14ac:dyDescent="0.3">
      <c r="A369" s="4" t="s">
        <v>376</v>
      </c>
    </row>
    <row r="370" spans="1:8" x14ac:dyDescent="0.3">
      <c r="A370" s="31"/>
    </row>
    <row r="371" spans="1:8" x14ac:dyDescent="0.3">
      <c r="A371" s="31" t="s">
        <v>399</v>
      </c>
    </row>
    <row r="372" spans="1:8" x14ac:dyDescent="0.3">
      <c r="A372" s="31" t="s">
        <v>377</v>
      </c>
    </row>
    <row r="373" spans="1:8" x14ac:dyDescent="0.3">
      <c r="A373" s="31" t="s">
        <v>400</v>
      </c>
    </row>
    <row r="375" spans="1:8" x14ac:dyDescent="0.3">
      <c r="A375" s="4" t="s">
        <v>378</v>
      </c>
      <c r="B375" s="4"/>
      <c r="C375" s="4"/>
      <c r="D375" s="4"/>
      <c r="E375" s="4"/>
      <c r="F375" s="4"/>
      <c r="G375" s="4"/>
      <c r="H375" s="4"/>
    </row>
    <row r="376" spans="1:8" x14ac:dyDescent="0.3">
      <c r="A376" s="33" t="s">
        <v>379</v>
      </c>
      <c r="B376" s="4"/>
      <c r="C376" s="4"/>
      <c r="D376" s="4"/>
      <c r="E376" s="4"/>
      <c r="F376" s="4"/>
      <c r="G376" s="4"/>
      <c r="H376" s="4"/>
    </row>
    <row r="377" spans="1:8" x14ac:dyDescent="0.3">
      <c r="A377" s="34" t="s">
        <v>380</v>
      </c>
      <c r="B377" s="4"/>
      <c r="C377" s="4"/>
      <c r="E377" s="4"/>
      <c r="F377" s="4"/>
      <c r="G377" s="34" t="s">
        <v>381</v>
      </c>
      <c r="H377" s="4"/>
    </row>
    <row r="378" spans="1:8" x14ac:dyDescent="0.3">
      <c r="A378" s="7" t="s">
        <v>382</v>
      </c>
      <c r="B378" s="7" t="s">
        <v>383</v>
      </c>
      <c r="C378" s="7" t="s">
        <v>384</v>
      </c>
      <c r="D378" s="7" t="s">
        <v>385</v>
      </c>
      <c r="E378" s="7" t="s">
        <v>386</v>
      </c>
      <c r="F378" s="4"/>
      <c r="G378" s="7" t="s">
        <v>387</v>
      </c>
      <c r="H378" s="7" t="s">
        <v>385</v>
      </c>
    </row>
    <row r="379" spans="1:8" x14ac:dyDescent="0.3">
      <c r="A379" s="4" t="s">
        <v>388</v>
      </c>
      <c r="B379" s="4" t="s">
        <v>389</v>
      </c>
      <c r="C379" s="4">
        <v>0.8</v>
      </c>
      <c r="D379" s="5">
        <f>VLOOKUP(C379,G379:H383,2,1)</f>
        <v>6.5</v>
      </c>
      <c r="E379" s="4">
        <v>5.2</v>
      </c>
      <c r="F379" s="4"/>
      <c r="G379" s="4">
        <v>0</v>
      </c>
      <c r="H379" s="4">
        <v>6.5</v>
      </c>
    </row>
    <row r="380" spans="1:8" x14ac:dyDescent="0.3">
      <c r="A380" s="4" t="s">
        <v>390</v>
      </c>
      <c r="B380" s="4" t="s">
        <v>389</v>
      </c>
      <c r="C380" s="4">
        <v>2.4</v>
      </c>
      <c r="D380" s="5">
        <f t="shared" ref="D380:D383" si="17">VLOOKUP(C380,G380:H384,2,1)</f>
        <v>5.75</v>
      </c>
      <c r="E380" s="4">
        <v>13.8</v>
      </c>
      <c r="F380" s="4"/>
      <c r="G380" s="4">
        <v>1</v>
      </c>
      <c r="H380" s="4">
        <v>5.75</v>
      </c>
    </row>
    <row r="381" spans="1:8" x14ac:dyDescent="0.3">
      <c r="A381" s="4" t="s">
        <v>391</v>
      </c>
      <c r="B381" s="4" t="s">
        <v>392</v>
      </c>
      <c r="C381" s="4">
        <v>6.2</v>
      </c>
      <c r="D381" s="5">
        <f>VLOOKUP(C381,G381:H385,2,1)</f>
        <v>5</v>
      </c>
      <c r="E381" s="4">
        <v>31</v>
      </c>
      <c r="F381" s="4"/>
      <c r="G381" s="4">
        <v>5</v>
      </c>
      <c r="H381" s="4">
        <v>5</v>
      </c>
    </row>
    <row r="382" spans="1:8" x14ac:dyDescent="0.3">
      <c r="A382" s="4" t="s">
        <v>393</v>
      </c>
      <c r="B382" s="4" t="s">
        <v>394</v>
      </c>
      <c r="C382" s="4">
        <v>12</v>
      </c>
      <c r="D382" s="5">
        <f t="shared" si="17"/>
        <v>4.25</v>
      </c>
      <c r="E382" s="4">
        <v>51</v>
      </c>
      <c r="F382" s="4"/>
      <c r="G382" s="4">
        <v>10</v>
      </c>
      <c r="H382" s="4">
        <v>4.25</v>
      </c>
    </row>
    <row r="383" spans="1:8" x14ac:dyDescent="0.3">
      <c r="A383" s="4" t="s">
        <v>395</v>
      </c>
      <c r="B383" s="4" t="s">
        <v>389</v>
      </c>
      <c r="C383" s="4">
        <v>24.5</v>
      </c>
      <c r="D383" s="5">
        <f t="shared" si="17"/>
        <v>3.75</v>
      </c>
      <c r="E383" s="4">
        <v>91.875</v>
      </c>
      <c r="F383" s="4"/>
      <c r="G383" s="4">
        <v>20</v>
      </c>
      <c r="H383" s="4">
        <v>3.75</v>
      </c>
    </row>
    <row r="385" spans="1:4" x14ac:dyDescent="0.3">
      <c r="D385" s="1" t="str">
        <f ca="1">_xlfn.FORMULATEXT(D379)</f>
        <v>=VLOOKUP(C379,G379:H383,2,1)</v>
      </c>
    </row>
    <row r="387" spans="1:4" x14ac:dyDescent="0.3">
      <c r="A387" s="29" t="s">
        <v>401</v>
      </c>
    </row>
    <row r="388" spans="1:4" x14ac:dyDescent="0.3">
      <c r="A388" s="1" t="s">
        <v>353</v>
      </c>
    </row>
    <row r="389" spans="1:4" x14ac:dyDescent="0.3">
      <c r="A389" s="31" t="s">
        <v>431</v>
      </c>
    </row>
    <row r="390" spans="1:4" x14ac:dyDescent="0.3">
      <c r="A390" s="31" t="s">
        <v>432</v>
      </c>
    </row>
    <row r="391" spans="1:4" x14ac:dyDescent="0.3">
      <c r="A391" s="31" t="s">
        <v>433</v>
      </c>
    </row>
    <row r="392" spans="1:4" x14ac:dyDescent="0.3">
      <c r="A392" s="31" t="s">
        <v>434</v>
      </c>
    </row>
    <row r="394" spans="1:4" x14ac:dyDescent="0.3">
      <c r="A394" s="4" t="s">
        <v>435</v>
      </c>
    </row>
    <row r="395" spans="1:4" x14ac:dyDescent="0.3">
      <c r="A395" s="31"/>
    </row>
    <row r="396" spans="1:4" x14ac:dyDescent="0.3">
      <c r="A396" s="31" t="s">
        <v>436</v>
      </c>
    </row>
    <row r="397" spans="1:4" x14ac:dyDescent="0.3">
      <c r="A397" s="31" t="s">
        <v>437</v>
      </c>
    </row>
    <row r="398" spans="1:4" x14ac:dyDescent="0.3">
      <c r="A398" s="31" t="s">
        <v>402</v>
      </c>
    </row>
    <row r="399" spans="1:4" x14ac:dyDescent="0.3">
      <c r="A399" s="31" t="s">
        <v>438</v>
      </c>
    </row>
    <row r="401" spans="1:4" x14ac:dyDescent="0.3">
      <c r="A401" s="10" t="s">
        <v>403</v>
      </c>
      <c r="B401" s="10" t="s">
        <v>404</v>
      </c>
      <c r="C401" s="10" t="s">
        <v>405</v>
      </c>
      <c r="D401" s="10" t="s">
        <v>406</v>
      </c>
    </row>
    <row r="402" spans="1:4" x14ac:dyDescent="0.3">
      <c r="A402" s="4" t="s">
        <v>407</v>
      </c>
      <c r="B402" s="4" t="s">
        <v>408</v>
      </c>
      <c r="C402" s="4" t="s">
        <v>409</v>
      </c>
      <c r="D402" s="4" t="s">
        <v>410</v>
      </c>
    </row>
    <row r="403" spans="1:4" x14ac:dyDescent="0.3">
      <c r="A403" s="4" t="s">
        <v>411</v>
      </c>
      <c r="B403" s="4" t="s">
        <v>412</v>
      </c>
      <c r="C403" s="4" t="s">
        <v>413</v>
      </c>
      <c r="D403" s="4" t="s">
        <v>414</v>
      </c>
    </row>
    <row r="404" spans="1:4" x14ac:dyDescent="0.3">
      <c r="A404" s="4" t="s">
        <v>415</v>
      </c>
      <c r="B404" s="4" t="s">
        <v>416</v>
      </c>
      <c r="C404" s="4" t="s">
        <v>417</v>
      </c>
      <c r="D404" s="4" t="s">
        <v>418</v>
      </c>
    </row>
    <row r="405" spans="1:4" x14ac:dyDescent="0.3">
      <c r="A405" s="4" t="s">
        <v>419</v>
      </c>
      <c r="B405" s="4" t="s">
        <v>420</v>
      </c>
      <c r="C405" s="4" t="s">
        <v>421</v>
      </c>
      <c r="D405" s="4" t="s">
        <v>422</v>
      </c>
    </row>
    <row r="406" spans="1:4" x14ac:dyDescent="0.3">
      <c r="A406" s="4" t="s">
        <v>423</v>
      </c>
      <c r="B406" s="4" t="s">
        <v>424</v>
      </c>
      <c r="C406" s="4" t="s">
        <v>425</v>
      </c>
      <c r="D406" s="4" t="s">
        <v>426</v>
      </c>
    </row>
    <row r="407" spans="1:4" x14ac:dyDescent="0.3">
      <c r="A407" s="4" t="s">
        <v>427</v>
      </c>
      <c r="B407" s="4" t="s">
        <v>428</v>
      </c>
      <c r="C407" s="4" t="s">
        <v>429</v>
      </c>
      <c r="D407" s="4" t="s">
        <v>430</v>
      </c>
    </row>
    <row r="408" spans="1:4" x14ac:dyDescent="0.3">
      <c r="A408" s="4"/>
      <c r="B408" s="4"/>
      <c r="C408" s="4"/>
      <c r="D408" s="4"/>
    </row>
    <row r="409" spans="1:4" x14ac:dyDescent="0.3">
      <c r="A409" s="4" t="s">
        <v>403</v>
      </c>
      <c r="B409" s="4" t="s">
        <v>419</v>
      </c>
      <c r="C409" s="4"/>
      <c r="D409" s="4"/>
    </row>
    <row r="410" spans="1:4" x14ac:dyDescent="0.3">
      <c r="A410" s="4" t="s">
        <v>405</v>
      </c>
      <c r="B410" s="5" t="str">
        <f>VLOOKUP(B409,A402:C407,3,0)</f>
        <v>Denver</v>
      </c>
      <c r="C410" s="4"/>
      <c r="D410" s="4"/>
    </row>
    <row r="411" spans="1:4" x14ac:dyDescent="0.3">
      <c r="B411" s="1" t="str">
        <f ca="1">_xlfn.FORMULATEXT(B410)</f>
        <v>=VLOOKUP(B409,A402:C407,3,0)</v>
      </c>
    </row>
    <row r="413" spans="1:4" x14ac:dyDescent="0.3">
      <c r="A413" s="29" t="s">
        <v>439</v>
      </c>
    </row>
    <row r="414" spans="1:4" ht="69" x14ac:dyDescent="0.3">
      <c r="A414" s="2" t="s">
        <v>440</v>
      </c>
    </row>
    <row r="416" spans="1:4" ht="69" x14ac:dyDescent="0.3">
      <c r="A416" s="2" t="s">
        <v>440</v>
      </c>
    </row>
    <row r="418" spans="1:7" x14ac:dyDescent="0.3">
      <c r="A418" s="7" t="s">
        <v>202</v>
      </c>
      <c r="B418" s="7" t="s">
        <v>46</v>
      </c>
      <c r="C418" s="7" t="s">
        <v>47</v>
      </c>
      <c r="D418" s="7" t="s">
        <v>441</v>
      </c>
    </row>
    <row r="419" spans="1:7" x14ac:dyDescent="0.3">
      <c r="A419" s="4" t="s">
        <v>442</v>
      </c>
      <c r="B419" s="4" t="s">
        <v>443</v>
      </c>
      <c r="C419" s="4" t="s">
        <v>444</v>
      </c>
      <c r="D419" s="4">
        <v>12</v>
      </c>
    </row>
    <row r="420" spans="1:7" x14ac:dyDescent="0.3">
      <c r="A420" s="4" t="s">
        <v>445</v>
      </c>
      <c r="B420" s="4" t="s">
        <v>446</v>
      </c>
      <c r="C420" s="4" t="s">
        <v>447</v>
      </c>
      <c r="D420" s="4">
        <v>18</v>
      </c>
    </row>
    <row r="421" spans="1:7" x14ac:dyDescent="0.3">
      <c r="A421" s="4" t="s">
        <v>448</v>
      </c>
      <c r="B421" s="4" t="s">
        <v>449</v>
      </c>
      <c r="C421" s="4" t="s">
        <v>106</v>
      </c>
      <c r="D421" s="4">
        <v>24</v>
      </c>
    </row>
    <row r="422" spans="1:7" x14ac:dyDescent="0.3">
      <c r="A422" s="4" t="s">
        <v>450</v>
      </c>
      <c r="B422" s="4" t="s">
        <v>60</v>
      </c>
      <c r="C422" s="4" t="s">
        <v>447</v>
      </c>
      <c r="D422" s="4">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9" t="s">
        <v>453</v>
      </c>
    </row>
    <row r="430" spans="1:7" ht="69" x14ac:dyDescent="0.3">
      <c r="A430" s="38" t="s">
        <v>477</v>
      </c>
    </row>
    <row r="431" spans="1:7" ht="82.8" x14ac:dyDescent="0.3">
      <c r="A431" s="38" t="s">
        <v>476</v>
      </c>
    </row>
    <row r="432" spans="1:7" x14ac:dyDescent="0.3">
      <c r="A432" s="7" t="s">
        <v>202</v>
      </c>
      <c r="B432" s="7" t="s">
        <v>46</v>
      </c>
      <c r="C432" s="7" t="s">
        <v>47</v>
      </c>
      <c r="D432" s="7" t="s">
        <v>454</v>
      </c>
      <c r="E432" s="4"/>
      <c r="F432" s="7" t="s">
        <v>455</v>
      </c>
      <c r="G432" s="7" t="s">
        <v>46</v>
      </c>
    </row>
    <row r="433" spans="1:7" x14ac:dyDescent="0.3">
      <c r="A433" s="4" t="s">
        <v>456</v>
      </c>
      <c r="B433" s="4" t="s">
        <v>457</v>
      </c>
      <c r="C433" s="4" t="s">
        <v>458</v>
      </c>
      <c r="D433" s="4">
        <v>6.25</v>
      </c>
      <c r="E433" s="4"/>
      <c r="F433" s="37" t="s">
        <v>456</v>
      </c>
      <c r="G433" s="5" t="str">
        <f>_xlfn.XLOOKUP(F433,$A$433:$A$439,$B$433:$B$439,"Discontinued")</f>
        <v>Box Cutter</v>
      </c>
    </row>
    <row r="434" spans="1:7" x14ac:dyDescent="0.3">
      <c r="A434" s="4" t="s">
        <v>459</v>
      </c>
      <c r="B434" s="4" t="s">
        <v>460</v>
      </c>
      <c r="C434" s="4" t="s">
        <v>461</v>
      </c>
      <c r="D434" s="4">
        <v>3.4</v>
      </c>
      <c r="E434" s="4"/>
      <c r="F434" s="37" t="s">
        <v>462</v>
      </c>
      <c r="G434" s="5" t="str">
        <f>_xlfn.XLOOKUP(F434,$A$433:$A$439,$B$433:$B$439,"Discontinued")</f>
        <v>Discontinued</v>
      </c>
    </row>
    <row r="435" spans="1:7" x14ac:dyDescent="0.3">
      <c r="A435" s="4" t="s">
        <v>463</v>
      </c>
      <c r="B435" s="4" t="s">
        <v>464</v>
      </c>
      <c r="C435" s="4" t="s">
        <v>461</v>
      </c>
      <c r="D435" s="4">
        <v>19.989999999999998</v>
      </c>
      <c r="E435" s="4"/>
      <c r="F435" s="37" t="s">
        <v>463</v>
      </c>
      <c r="G435" s="5" t="str">
        <f>_xlfn.XLOOKUP(F435,$A$433:$A$439,$B$433:$B$439,"Discontinued")</f>
        <v>Bubble Wrap Roll</v>
      </c>
    </row>
    <row r="436" spans="1:7" x14ac:dyDescent="0.3">
      <c r="A436" s="4" t="s">
        <v>465</v>
      </c>
      <c r="B436" s="4" t="s">
        <v>466</v>
      </c>
      <c r="C436" s="4" t="s">
        <v>461</v>
      </c>
      <c r="D436" s="4">
        <v>14.5</v>
      </c>
      <c r="E436" s="4"/>
      <c r="F436" s="37" t="s">
        <v>467</v>
      </c>
      <c r="G436" s="5" t="str">
        <f>_xlfn.XLOOKUP(F436,$A$433:$A$439,$B$433:$B$439,"Discontinued")</f>
        <v>Discontinued</v>
      </c>
    </row>
    <row r="437" spans="1:7" x14ac:dyDescent="0.3">
      <c r="A437" s="4" t="s">
        <v>468</v>
      </c>
      <c r="B437" s="4" t="s">
        <v>469</v>
      </c>
      <c r="C437" s="4" t="s">
        <v>470</v>
      </c>
      <c r="D437" s="4">
        <v>8.75</v>
      </c>
      <c r="E437" s="4"/>
      <c r="F437" s="37" t="s">
        <v>468</v>
      </c>
      <c r="G437" s="5" t="str">
        <f>_xlfn.XLOOKUP(F437,$A$433:$A$439,$B$433:$B$439,"Discontinued")</f>
        <v>Safety Gloves (L)</v>
      </c>
    </row>
    <row r="438" spans="1:7" x14ac:dyDescent="0.3">
      <c r="A438" s="4" t="s">
        <v>471</v>
      </c>
      <c r="B438" s="4" t="s">
        <v>472</v>
      </c>
      <c r="C438" s="4" t="s">
        <v>447</v>
      </c>
      <c r="D438" s="4">
        <v>27.5</v>
      </c>
      <c r="E438" s="4"/>
      <c r="F438" s="37" t="s">
        <v>473</v>
      </c>
      <c r="G438" s="5" t="str">
        <f>_xlfn.XLOOKUP(F438,$A$433:$A$439,$B$433:$B$439,"Discontinued")</f>
        <v>Discontinued</v>
      </c>
    </row>
    <row r="439" spans="1:7" x14ac:dyDescent="0.3">
      <c r="A439" s="4" t="s">
        <v>474</v>
      </c>
      <c r="B439" s="4" t="s">
        <v>475</v>
      </c>
      <c r="C439" s="4" t="s">
        <v>470</v>
      </c>
      <c r="D439" s="4">
        <v>12</v>
      </c>
      <c r="E439" s="4"/>
      <c r="F439" s="37" t="s">
        <v>474</v>
      </c>
      <c r="G439" s="5" t="str">
        <f>_xlfn.XLOOKUP(F439,$A$433:$A$439,$B$433:$B$439,"Discontinued")</f>
        <v>Warehouse Marking Tape</v>
      </c>
    </row>
    <row r="441" spans="1:7" x14ac:dyDescent="0.3">
      <c r="A441" s="29" t="s">
        <v>478</v>
      </c>
      <c r="G441" s="1" t="str">
        <f ca="1">_xlfn.FORMULATEXT(G433)</f>
        <v>=XLOOKUP(F433,$A$433:$A$439,$B$433:$B$439,"Discontinued")</v>
      </c>
    </row>
    <row r="442" spans="1:7" x14ac:dyDescent="0.3">
      <c r="A442" s="4" t="s">
        <v>479</v>
      </c>
    </row>
    <row r="443" spans="1:7" x14ac:dyDescent="0.3">
      <c r="A443" s="16"/>
    </row>
    <row r="444" spans="1:7" ht="27.6" x14ac:dyDescent="0.3">
      <c r="A444" s="4" t="s">
        <v>505</v>
      </c>
    </row>
    <row r="445" spans="1:7" x14ac:dyDescent="0.3">
      <c r="A445" s="16"/>
    </row>
    <row r="446" spans="1:7" x14ac:dyDescent="0.3">
      <c r="A446" s="4" t="s">
        <v>480</v>
      </c>
    </row>
    <row r="447" spans="1:7" x14ac:dyDescent="0.3">
      <c r="A447" s="16"/>
    </row>
    <row r="448" spans="1:7" x14ac:dyDescent="0.3">
      <c r="A448" s="4" t="s">
        <v>481</v>
      </c>
    </row>
    <row r="450" spans="1:4" x14ac:dyDescent="0.3">
      <c r="A450" s="10" t="s">
        <v>255</v>
      </c>
      <c r="B450" s="10" t="s">
        <v>256</v>
      </c>
      <c r="C450" s="10" t="s">
        <v>47</v>
      </c>
      <c r="D450" s="10" t="s">
        <v>482</v>
      </c>
    </row>
    <row r="451" spans="1:4" x14ac:dyDescent="0.3">
      <c r="A451" s="4" t="s">
        <v>483</v>
      </c>
      <c r="B451" s="4" t="s">
        <v>484</v>
      </c>
      <c r="C451" s="4" t="s">
        <v>461</v>
      </c>
      <c r="D451" s="4">
        <v>22.4</v>
      </c>
    </row>
    <row r="452" spans="1:4" x14ac:dyDescent="0.3">
      <c r="A452" s="4" t="s">
        <v>485</v>
      </c>
      <c r="B452" s="4" t="s">
        <v>486</v>
      </c>
      <c r="C452" s="4" t="s">
        <v>487</v>
      </c>
      <c r="D452" s="4">
        <v>18.5</v>
      </c>
    </row>
    <row r="453" spans="1:4" x14ac:dyDescent="0.3">
      <c r="A453" s="4" t="s">
        <v>488</v>
      </c>
      <c r="B453" s="4" t="s">
        <v>489</v>
      </c>
      <c r="C453" s="4" t="s">
        <v>490</v>
      </c>
      <c r="D453" s="4">
        <v>7.2</v>
      </c>
    </row>
    <row r="454" spans="1:4" x14ac:dyDescent="0.3">
      <c r="A454" s="4" t="s">
        <v>491</v>
      </c>
      <c r="B454" s="4" t="s">
        <v>492</v>
      </c>
      <c r="C454" s="4" t="s">
        <v>487</v>
      </c>
      <c r="D454" s="4">
        <v>9.75</v>
      </c>
    </row>
    <row r="455" spans="1:4" x14ac:dyDescent="0.3">
      <c r="A455" s="4" t="s">
        <v>493</v>
      </c>
      <c r="B455" s="4" t="s">
        <v>494</v>
      </c>
      <c r="C455" s="4" t="s">
        <v>470</v>
      </c>
      <c r="D455" s="4">
        <v>31</v>
      </c>
    </row>
    <row r="456" spans="1:4" x14ac:dyDescent="0.3">
      <c r="A456" s="4" t="s">
        <v>495</v>
      </c>
      <c r="B456" s="4" t="s">
        <v>496</v>
      </c>
      <c r="C456" s="4" t="s">
        <v>487</v>
      </c>
      <c r="D456" s="4">
        <v>12.6</v>
      </c>
    </row>
    <row r="457" spans="1:4" x14ac:dyDescent="0.3">
      <c r="A457" s="4" t="s">
        <v>497</v>
      </c>
      <c r="B457" s="4" t="s">
        <v>498</v>
      </c>
      <c r="C457" s="4" t="s">
        <v>499</v>
      </c>
      <c r="D457" s="4">
        <v>14.25</v>
      </c>
    </row>
    <row r="458" spans="1:4" x14ac:dyDescent="0.3">
      <c r="A458" s="4" t="s">
        <v>500</v>
      </c>
      <c r="B458" s="4" t="s">
        <v>501</v>
      </c>
      <c r="C458" s="4" t="s">
        <v>487</v>
      </c>
      <c r="D458" s="4">
        <v>24.9</v>
      </c>
    </row>
    <row r="459" spans="1:4" x14ac:dyDescent="0.3">
      <c r="A459" s="4"/>
      <c r="B459" s="4"/>
      <c r="C459" s="4"/>
      <c r="D459" s="4"/>
    </row>
    <row r="460" spans="1:4" x14ac:dyDescent="0.3">
      <c r="A460" s="14" t="s">
        <v>502</v>
      </c>
      <c r="B460" s="39" t="s">
        <v>503</v>
      </c>
      <c r="C460" s="4"/>
      <c r="D460" s="4"/>
    </row>
    <row r="461" spans="1:4" x14ac:dyDescent="0.3">
      <c r="A461" s="14" t="s">
        <v>504</v>
      </c>
      <c r="B461" s="5" t="str">
        <f>_xlfn.XLOOKUP("*"&amp;B460&amp;"*",B451:B458,B451:B458,,2)</f>
        <v>Citrus Surface Cleaner</v>
      </c>
      <c r="C461" s="4"/>
      <c r="D461" s="4"/>
    </row>
    <row r="462" spans="1:4" x14ac:dyDescent="0.3">
      <c r="A462" s="14" t="s">
        <v>482</v>
      </c>
      <c r="B462" s="5">
        <f>_xlfn.XLOOKUP("*"&amp;B460&amp;"*",B451:B458,D451:D458,,2)</f>
        <v>12.6</v>
      </c>
      <c r="C462" s="4"/>
      <c r="D462" s="4"/>
    </row>
    <row r="464" spans="1:4" x14ac:dyDescent="0.3">
      <c r="B464" s="1" t="str">
        <f ca="1">_xlfn.FORMULATEXT(B461)</f>
        <v>=XLOOKUP("*"&amp;B460&amp;"*",B451:B458,B451:B458,,2)</v>
      </c>
    </row>
  </sheetData>
  <mergeCells count="3">
    <mergeCell ref="C236:C237"/>
    <mergeCell ref="B256:C256"/>
    <mergeCell ref="C359:C3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2026-06-19T18:11:49Z</dcterms:modified>
</cp:coreProperties>
</file>