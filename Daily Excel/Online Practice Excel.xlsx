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88" documentId="11_F25DC773A252ABDACC1048BD89DC52D45ADE58EF" xr6:coauthVersionLast="47" xr6:coauthVersionMax="47" xr10:uidLastSave="{28382681-0350-4684-8354-561904C401B9}"/>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48" i="1" l="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550" i="1"/>
  <c r="C534" i="1"/>
  <c r="B411" i="1"/>
  <c r="D269" i="1"/>
  <c r="B464" i="1"/>
  <c r="C236" i="1"/>
  <c r="C477" i="1"/>
  <c r="C476" i="1"/>
  <c r="G441" i="1"/>
  <c r="B256" i="1"/>
  <c r="C343" i="1"/>
  <c r="E204" i="1"/>
  <c r="B500" i="1"/>
  <c r="E295" i="1"/>
  <c r="D283" i="1"/>
  <c r="G315" i="1"/>
  <c r="C427" i="1"/>
  <c r="D385" i="1"/>
  <c r="C359" i="1"/>
  <c r="D299" i="1" l="1"/>
  <c r="C145" i="1"/>
  <c r="C149" i="1"/>
  <c r="C148" i="1"/>
  <c r="C147" i="1"/>
  <c r="C4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<sst xmlns="http://schemas.openxmlformats.org/spreadsheetml/2006/main" count="772" uniqueCount="610">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</sst>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8">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s>
  <borders count="1">
    <border>
      <left/>
      <right/>
      <top/>
      <bottom/>
      <diagonal/>
    </border>
  </borders>
  <cellStyleXfs count="1">
    <xf numFmtId="0" fontId="0" fillId="0" borderId="0"/>
  </cellStyleXfs>
  <cellXfs count="45">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17" borderId="0" xfId="0" applyFont="1" applyFill="1" applyAlignment="1">
      <alignment vertical="center" wrapText="1"/>
    </xf>
    <xf numFmtId="0" fontId="1"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52"/>
  <sheetViews>
    <sheetView tabSelected="1" topLeftCell="A529" workbookViewId="0">
      <selection activeCell="A547" sqref="A1:XFD1048576"/>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41" t="str">
        <f ca="1">_xlfn.FORMULATEXT(B236)</f>
        <v>=XLOOKUP(B235,A227:A233,C227:C233,0)</v>
      </c>
    </row>
    <row r="237" spans="1:3" x14ac:dyDescent="0.3">
      <c r="C237" s="41"/>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42" t="str">
        <f ca="1">_xlfn.FORMULATEXT(C251)</f>
        <v>=XLOOKUP(A251,A$242:A$248,$C$242:$C$248,0)</v>
      </c>
      <c r="C256" s="42"/>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41" t="str">
        <f ca="1">_xlfn.FORMULATEXT(C358)</f>
        <v>=HLOOKUP(B358,A355:E356,2,0)</v>
      </c>
      <c r="D359" s="4"/>
      <c r="E359" s="4"/>
    </row>
    <row r="360" spans="1:5" x14ac:dyDescent="0.3">
      <c r="C360" s="41"/>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7" x14ac:dyDescent="0.3">
      <c r="A418" s="7" t="s">
        <v>202</v>
      </c>
      <c r="B418" s="7" t="s">
        <v>46</v>
      </c>
      <c r="C418" s="7" t="s">
        <v>47</v>
      </c>
      <c r="D418" s="7" t="s">
        <v>441</v>
      </c>
    </row>
    <row r="419" spans="1:7" x14ac:dyDescent="0.3">
      <c r="A419" s="4" t="s">
        <v>442</v>
      </c>
      <c r="B419" s="4" t="s">
        <v>443</v>
      </c>
      <c r="C419" s="4" t="s">
        <v>444</v>
      </c>
      <c r="D419" s="4">
        <v>12</v>
      </c>
    </row>
    <row r="420" spans="1:7" x14ac:dyDescent="0.3">
      <c r="A420" s="4" t="s">
        <v>445</v>
      </c>
      <c r="B420" s="4" t="s">
        <v>446</v>
      </c>
      <c r="C420" s="4" t="s">
        <v>447</v>
      </c>
      <c r="D420" s="4">
        <v>18</v>
      </c>
    </row>
    <row r="421" spans="1:7" x14ac:dyDescent="0.3">
      <c r="A421" s="4" t="s">
        <v>448</v>
      </c>
      <c r="B421" s="4" t="s">
        <v>449</v>
      </c>
      <c r="C421" s="4" t="s">
        <v>106</v>
      </c>
      <c r="D421" s="4">
        <v>24</v>
      </c>
    </row>
    <row r="422" spans="1:7" x14ac:dyDescent="0.3">
      <c r="A422" s="4" t="s">
        <v>450</v>
      </c>
      <c r="B422" s="4" t="s">
        <v>60</v>
      </c>
      <c r="C422" s="4" t="s">
        <v>447</v>
      </c>
      <c r="D422" s="4">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9" t="s">
        <v>453</v>
      </c>
    </row>
    <row r="430" spans="1:7" ht="69" x14ac:dyDescent="0.3">
      <c r="A430" s="36" t="s">
        <v>477</v>
      </c>
    </row>
    <row r="431" spans="1:7" ht="82.8" x14ac:dyDescent="0.3">
      <c r="A431" s="36" t="s">
        <v>476</v>
      </c>
    </row>
    <row r="432" spans="1:7" x14ac:dyDescent="0.3">
      <c r="A432" s="7" t="s">
        <v>202</v>
      </c>
      <c r="B432" s="7" t="s">
        <v>46</v>
      </c>
      <c r="C432" s="7" t="s">
        <v>47</v>
      </c>
      <c r="D432" s="7" t="s">
        <v>454</v>
      </c>
      <c r="E432" s="4"/>
      <c r="F432" s="7" t="s">
        <v>455</v>
      </c>
      <c r="G432" s="7" t="s">
        <v>46</v>
      </c>
    </row>
    <row r="433" spans="1:7" x14ac:dyDescent="0.3">
      <c r="A433" s="4" t="s">
        <v>456</v>
      </c>
      <c r="B433" s="4" t="s">
        <v>457</v>
      </c>
      <c r="C433" s="4" t="s">
        <v>458</v>
      </c>
      <c r="D433" s="4">
        <v>6.25</v>
      </c>
      <c r="E433" s="4"/>
      <c r="F433" s="35" t="s">
        <v>456</v>
      </c>
      <c r="G433" s="5" t="str">
        <f t="shared" ref="G433:G439" si="18">_xlfn.XLOOKUP(F433,$A$433:$A$439,$B$433:$B$439,"Discontinued")</f>
        <v>Box Cutter</v>
      </c>
    </row>
    <row r="434" spans="1:7" x14ac:dyDescent="0.3">
      <c r="A434" s="4" t="s">
        <v>459</v>
      </c>
      <c r="B434" s="4" t="s">
        <v>460</v>
      </c>
      <c r="C434" s="4" t="s">
        <v>461</v>
      </c>
      <c r="D434" s="4">
        <v>3.4</v>
      </c>
      <c r="E434" s="4"/>
      <c r="F434" s="35" t="s">
        <v>462</v>
      </c>
      <c r="G434" s="5" t="str">
        <f t="shared" si="18"/>
        <v>Discontinued</v>
      </c>
    </row>
    <row r="435" spans="1:7" x14ac:dyDescent="0.3">
      <c r="A435" s="4" t="s">
        <v>463</v>
      </c>
      <c r="B435" s="4" t="s">
        <v>464</v>
      </c>
      <c r="C435" s="4" t="s">
        <v>461</v>
      </c>
      <c r="D435" s="4">
        <v>19.989999999999998</v>
      </c>
      <c r="E435" s="4"/>
      <c r="F435" s="35" t="s">
        <v>463</v>
      </c>
      <c r="G435" s="5" t="str">
        <f t="shared" si="18"/>
        <v>Bubble Wrap Roll</v>
      </c>
    </row>
    <row r="436" spans="1:7" x14ac:dyDescent="0.3">
      <c r="A436" s="4" t="s">
        <v>465</v>
      </c>
      <c r="B436" s="4" t="s">
        <v>466</v>
      </c>
      <c r="C436" s="4" t="s">
        <v>461</v>
      </c>
      <c r="D436" s="4">
        <v>14.5</v>
      </c>
      <c r="E436" s="4"/>
      <c r="F436" s="35" t="s">
        <v>467</v>
      </c>
      <c r="G436" s="5" t="str">
        <f t="shared" si="18"/>
        <v>Discontinued</v>
      </c>
    </row>
    <row r="437" spans="1:7" x14ac:dyDescent="0.3">
      <c r="A437" s="4" t="s">
        <v>468</v>
      </c>
      <c r="B437" s="4" t="s">
        <v>469</v>
      </c>
      <c r="C437" s="4" t="s">
        <v>470</v>
      </c>
      <c r="D437" s="4">
        <v>8.75</v>
      </c>
      <c r="E437" s="4"/>
      <c r="F437" s="35" t="s">
        <v>468</v>
      </c>
      <c r="G437" s="5" t="str">
        <f t="shared" si="18"/>
        <v>Safety Gloves (L)</v>
      </c>
    </row>
    <row r="438" spans="1:7" x14ac:dyDescent="0.3">
      <c r="A438" s="4" t="s">
        <v>471</v>
      </c>
      <c r="B438" s="4" t="s">
        <v>472</v>
      </c>
      <c r="C438" s="4" t="s">
        <v>447</v>
      </c>
      <c r="D438" s="4">
        <v>27.5</v>
      </c>
      <c r="E438" s="4"/>
      <c r="F438" s="35" t="s">
        <v>473</v>
      </c>
      <c r="G438" s="5" t="str">
        <f t="shared" si="18"/>
        <v>Discontinued</v>
      </c>
    </row>
    <row r="439" spans="1:7" x14ac:dyDescent="0.3">
      <c r="A439" s="4" t="s">
        <v>474</v>
      </c>
      <c r="B439" s="4" t="s">
        <v>475</v>
      </c>
      <c r="C439" s="4" t="s">
        <v>470</v>
      </c>
      <c r="D439" s="4">
        <v>12</v>
      </c>
      <c r="E439" s="4"/>
      <c r="F439" s="35" t="s">
        <v>474</v>
      </c>
      <c r="G439" s="5" t="str">
        <f t="shared" si="18"/>
        <v>Warehouse Marking Tape</v>
      </c>
    </row>
    <row r="441" spans="1:7" x14ac:dyDescent="0.3">
      <c r="A441" s="29" t="s">
        <v>478</v>
      </c>
      <c r="G441" s="1" t="str">
        <f ca="1">_xlfn.FORMULATEXT(G433)</f>
        <v>=XLOOKUP(F433,$A$433:$A$439,$B$433:$B$439,"Discontinued")</v>
      </c>
    </row>
    <row r="442" spans="1:7" x14ac:dyDescent="0.3">
      <c r="A442" s="4" t="s">
        <v>479</v>
      </c>
    </row>
    <row r="443" spans="1:7" x14ac:dyDescent="0.3">
      <c r="A443" s="16"/>
    </row>
    <row r="444" spans="1:7" ht="27.6" x14ac:dyDescent="0.3">
      <c r="A444" s="4" t="s">
        <v>505</v>
      </c>
    </row>
    <row r="445" spans="1:7" x14ac:dyDescent="0.3">
      <c r="A445" s="16"/>
    </row>
    <row r="446" spans="1:7" x14ac:dyDescent="0.3">
      <c r="A446" s="4" t="s">
        <v>480</v>
      </c>
    </row>
    <row r="447" spans="1:7" x14ac:dyDescent="0.3">
      <c r="A447" s="16"/>
    </row>
    <row r="448" spans="1:7" x14ac:dyDescent="0.3">
      <c r="A448" s="4" t="s">
        <v>481</v>
      </c>
    </row>
    <row r="450" spans="1:4" x14ac:dyDescent="0.3">
      <c r="A450" s="10" t="s">
        <v>255</v>
      </c>
      <c r="B450" s="10" t="s">
        <v>256</v>
      </c>
      <c r="C450" s="10" t="s">
        <v>47</v>
      </c>
      <c r="D450" s="10" t="s">
        <v>482</v>
      </c>
    </row>
    <row r="451" spans="1:4" x14ac:dyDescent="0.3">
      <c r="A451" s="4" t="s">
        <v>483</v>
      </c>
      <c r="B451" s="4" t="s">
        <v>484</v>
      </c>
      <c r="C451" s="4" t="s">
        <v>461</v>
      </c>
      <c r="D451" s="4">
        <v>22.4</v>
      </c>
    </row>
    <row r="452" spans="1:4" x14ac:dyDescent="0.3">
      <c r="A452" s="4" t="s">
        <v>485</v>
      </c>
      <c r="B452" s="4" t="s">
        <v>486</v>
      </c>
      <c r="C452" s="4" t="s">
        <v>487</v>
      </c>
      <c r="D452" s="4">
        <v>18.5</v>
      </c>
    </row>
    <row r="453" spans="1:4" x14ac:dyDescent="0.3">
      <c r="A453" s="4" t="s">
        <v>488</v>
      </c>
      <c r="B453" s="4" t="s">
        <v>489</v>
      </c>
      <c r="C453" s="4" t="s">
        <v>490</v>
      </c>
      <c r="D453" s="4">
        <v>7.2</v>
      </c>
    </row>
    <row r="454" spans="1:4" x14ac:dyDescent="0.3">
      <c r="A454" s="4" t="s">
        <v>491</v>
      </c>
      <c r="B454" s="4" t="s">
        <v>492</v>
      </c>
      <c r="C454" s="4" t="s">
        <v>487</v>
      </c>
      <c r="D454" s="4">
        <v>9.75</v>
      </c>
    </row>
    <row r="455" spans="1:4" x14ac:dyDescent="0.3">
      <c r="A455" s="4" t="s">
        <v>493</v>
      </c>
      <c r="B455" s="4" t="s">
        <v>494</v>
      </c>
      <c r="C455" s="4" t="s">
        <v>470</v>
      </c>
      <c r="D455" s="4">
        <v>31</v>
      </c>
    </row>
    <row r="456" spans="1:4" x14ac:dyDescent="0.3">
      <c r="A456" s="4" t="s">
        <v>495</v>
      </c>
      <c r="B456" s="4" t="s">
        <v>496</v>
      </c>
      <c r="C456" s="4" t="s">
        <v>487</v>
      </c>
      <c r="D456" s="4">
        <v>12.6</v>
      </c>
    </row>
    <row r="457" spans="1:4" x14ac:dyDescent="0.3">
      <c r="A457" s="4" t="s">
        <v>497</v>
      </c>
      <c r="B457" s="4" t="s">
        <v>498</v>
      </c>
      <c r="C457" s="4" t="s">
        <v>499</v>
      </c>
      <c r="D457" s="4">
        <v>14.25</v>
      </c>
    </row>
    <row r="458" spans="1:4" x14ac:dyDescent="0.3">
      <c r="A458" s="4" t="s">
        <v>500</v>
      </c>
      <c r="B458" s="4" t="s">
        <v>501</v>
      </c>
      <c r="C458" s="4" t="s">
        <v>487</v>
      </c>
      <c r="D458" s="4">
        <v>24.9</v>
      </c>
    </row>
    <row r="459" spans="1:4" x14ac:dyDescent="0.3">
      <c r="A459" s="4"/>
      <c r="B459" s="4"/>
      <c r="C459" s="4"/>
      <c r="D459" s="4"/>
    </row>
    <row r="460" spans="1:4" x14ac:dyDescent="0.3">
      <c r="A460" s="14" t="s">
        <v>502</v>
      </c>
      <c r="B460" s="37" t="s">
        <v>503</v>
      </c>
      <c r="C460" s="4"/>
      <c r="D460" s="4"/>
    </row>
    <row r="461" spans="1:4" x14ac:dyDescent="0.3">
      <c r="A461" s="14" t="s">
        <v>504</v>
      </c>
      <c r="B461" s="5" t="str">
        <f>_xlfn.XLOOKUP("*"&amp;B460&amp;"*",B451:B458,B451:B458,,2)</f>
        <v>Citrus Surface Cleaner</v>
      </c>
      <c r="C461" s="4"/>
      <c r="D461" s="4"/>
    </row>
    <row r="462" spans="1:4" x14ac:dyDescent="0.3">
      <c r="A462" s="14" t="s">
        <v>482</v>
      </c>
      <c r="B462" s="5">
        <f>_xlfn.XLOOKUP("*"&amp;B460&amp;"*",B451:B458,D451:D458,,2)</f>
        <v>12.6</v>
      </c>
      <c r="C462" s="4"/>
      <c r="D462" s="4"/>
    </row>
    <row r="464" spans="1:4" x14ac:dyDescent="0.3">
      <c r="B464" s="1" t="str">
        <f ca="1">_xlfn.FORMULATEXT(B461)</f>
        <v>=XLOOKUP("*"&amp;B460&amp;"*",B451:B458,B451:B458,,2)</v>
      </c>
    </row>
    <row r="465" spans="1:8" x14ac:dyDescent="0.3">
      <c r="A465" s="4"/>
      <c r="B465" s="4"/>
      <c r="C465" s="4"/>
      <c r="D465" s="4"/>
      <c r="E465" s="4"/>
      <c r="F465" s="4"/>
      <c r="G465" s="4"/>
      <c r="H465" s="4"/>
    </row>
    <row r="466" spans="1:8" x14ac:dyDescent="0.3">
      <c r="A466" s="29" t="s">
        <v>506</v>
      </c>
      <c r="B466" s="4"/>
      <c r="C466" s="4"/>
      <c r="D466" s="4"/>
      <c r="E466" s="4"/>
      <c r="F466" s="4"/>
      <c r="G466" s="4"/>
      <c r="H466" s="4"/>
    </row>
    <row r="467" spans="1:8" ht="41.4" x14ac:dyDescent="0.3">
      <c r="A467" s="4" t="s">
        <v>507</v>
      </c>
      <c r="B467" s="4"/>
      <c r="C467" s="4"/>
      <c r="D467" s="4"/>
      <c r="E467" s="4"/>
      <c r="F467" s="4"/>
      <c r="G467" s="4"/>
      <c r="H467" s="4"/>
    </row>
    <row r="468" spans="1:8" ht="55.2" x14ac:dyDescent="0.3">
      <c r="A468" s="4" t="s">
        <v>508</v>
      </c>
      <c r="B468" s="4"/>
      <c r="C468" s="4"/>
      <c r="D468" s="4"/>
      <c r="E468" s="4"/>
      <c r="F468" s="4"/>
      <c r="G468" s="4"/>
      <c r="H468" s="4"/>
    </row>
    <row r="469" spans="1:8" x14ac:dyDescent="0.3">
      <c r="A469" s="4"/>
      <c r="B469" s="4"/>
      <c r="C469" s="4"/>
      <c r="D469" s="4"/>
      <c r="E469" s="4"/>
      <c r="F469" s="4"/>
      <c r="G469" s="4"/>
      <c r="H469" s="4"/>
    </row>
    <row r="470" spans="1:8" x14ac:dyDescent="0.3">
      <c r="A470" s="10" t="s">
        <v>202</v>
      </c>
      <c r="B470" s="10" t="s">
        <v>46</v>
      </c>
      <c r="C470" s="10" t="s">
        <v>509</v>
      </c>
      <c r="D470" s="4"/>
      <c r="E470" s="4"/>
      <c r="F470" s="4"/>
      <c r="G470" s="4"/>
      <c r="H470" s="4"/>
    </row>
    <row r="471" spans="1:8" x14ac:dyDescent="0.3">
      <c r="A471" s="4" t="s">
        <v>510</v>
      </c>
      <c r="B471" s="4" t="s">
        <v>511</v>
      </c>
      <c r="C471" s="4">
        <v>120</v>
      </c>
      <c r="D471" s="4"/>
      <c r="E471" s="4"/>
      <c r="F471" s="4"/>
      <c r="G471" s="4"/>
      <c r="H471" s="4"/>
    </row>
    <row r="472" spans="1:8" x14ac:dyDescent="0.3">
      <c r="A472" s="4" t="s">
        <v>512</v>
      </c>
      <c r="B472" s="4" t="s">
        <v>513</v>
      </c>
      <c r="C472" s="4">
        <v>50</v>
      </c>
      <c r="D472" s="4"/>
      <c r="E472" s="4"/>
      <c r="F472" s="4"/>
      <c r="G472" s="4"/>
      <c r="H472" s="4"/>
    </row>
    <row r="473" spans="1:8" x14ac:dyDescent="0.3">
      <c r="A473" s="4" t="s">
        <v>514</v>
      </c>
      <c r="B473" s="4" t="s">
        <v>515</v>
      </c>
      <c r="C473" s="4">
        <v>0</v>
      </c>
      <c r="D473" s="4"/>
      <c r="E473" s="4"/>
      <c r="F473" s="4"/>
      <c r="G473" s="4"/>
      <c r="H473" s="4"/>
    </row>
    <row r="474" spans="1:8" x14ac:dyDescent="0.3">
      <c r="A474" s="4"/>
      <c r="B474" s="4"/>
      <c r="C474" s="4"/>
      <c r="D474" s="4"/>
      <c r="E474" s="4"/>
      <c r="F474" s="4"/>
      <c r="G474" s="4"/>
      <c r="H474" s="4"/>
    </row>
    <row r="475" spans="1:8" x14ac:dyDescent="0.3">
      <c r="A475" s="4" t="s">
        <v>516</v>
      </c>
      <c r="B475" s="38" t="s">
        <v>517</v>
      </c>
      <c r="C475" s="4"/>
      <c r="D475" s="4"/>
      <c r="E475" s="4"/>
      <c r="F475" s="4"/>
      <c r="G475" s="4"/>
      <c r="H475" s="4"/>
    </row>
    <row r="476" spans="1:8" x14ac:dyDescent="0.3">
      <c r="A476" s="39" t="s">
        <v>518</v>
      </c>
      <c r="B476" s="5" t="str">
        <f>_xlfn.IFNA(VLOOKUP(B475,A471:C473,2,0),"Not Found")</f>
        <v>Not Found</v>
      </c>
      <c r="C476" s="41" t="str">
        <f ca="1">_xlfn.FORMULATEXT(B476)</f>
        <v>=IFNA(VLOOKUP(B475,A471:C473,2,0),"Not Found")</v>
      </c>
      <c r="D476" s="41"/>
      <c r="E476" s="41"/>
      <c r="F476" s="4"/>
      <c r="G476" s="4"/>
      <c r="H476" s="4"/>
    </row>
    <row r="477" spans="1:8" x14ac:dyDescent="0.3">
      <c r="A477" s="39" t="s">
        <v>519</v>
      </c>
      <c r="B477" s="5" t="str">
        <f>_xlfn.XLOOKUP(B475,A471:A473,B471:B473,"Not Found")</f>
        <v>Not Found</v>
      </c>
      <c r="C477" s="41" t="str">
        <f ca="1">_xlfn.FORMULATEXT(B477)</f>
        <v>=XLOOKUP(B475,A471:A473,B471:B473,"Not Found")</v>
      </c>
      <c r="D477" s="41"/>
      <c r="E477" s="41"/>
      <c r="F477" s="4"/>
      <c r="G477" s="4"/>
      <c r="H477" s="4"/>
    </row>
    <row r="478" spans="1:8" x14ac:dyDescent="0.3">
      <c r="A478" s="4"/>
      <c r="B478" s="4"/>
      <c r="C478" s="4"/>
      <c r="D478" s="4"/>
      <c r="E478" s="4"/>
      <c r="F478" s="4"/>
      <c r="G478" s="4"/>
      <c r="H478" s="4"/>
    </row>
    <row r="479" spans="1:8" x14ac:dyDescent="0.3">
      <c r="A479" s="4"/>
      <c r="B479" s="4"/>
      <c r="C479" s="4"/>
      <c r="D479" s="4"/>
      <c r="E479" s="4"/>
      <c r="F479" s="4"/>
      <c r="G479" s="4"/>
      <c r="H479" s="4"/>
    </row>
    <row r="480" spans="1:8" x14ac:dyDescent="0.3">
      <c r="A480" s="29" t="s">
        <v>545</v>
      </c>
      <c r="B480" s="4"/>
      <c r="C480" s="4"/>
      <c r="D480" s="4"/>
      <c r="E480" s="4"/>
      <c r="F480" s="4"/>
      <c r="G480" s="4"/>
      <c r="H480" s="4"/>
    </row>
    <row r="481" spans="1:8" ht="124.2" x14ac:dyDescent="0.3">
      <c r="A481" s="4" t="s">
        <v>546</v>
      </c>
      <c r="B481" s="4"/>
      <c r="C481" s="4"/>
      <c r="D481" s="4"/>
      <c r="E481" s="4"/>
      <c r="F481" s="4"/>
      <c r="G481" s="4"/>
      <c r="H481" s="4"/>
    </row>
    <row r="482" spans="1:8" ht="55.2" x14ac:dyDescent="0.3">
      <c r="A482" s="4" t="s">
        <v>547</v>
      </c>
      <c r="B482" s="4"/>
      <c r="C482" s="4"/>
      <c r="D482" s="4"/>
      <c r="E482" s="4"/>
      <c r="F482" s="4"/>
      <c r="G482" s="4"/>
      <c r="H482" s="4"/>
    </row>
    <row r="483" spans="1:8" x14ac:dyDescent="0.3">
      <c r="A483" s="4"/>
      <c r="B483" s="4"/>
      <c r="C483" s="4"/>
      <c r="D483" s="4"/>
      <c r="E483" s="4"/>
      <c r="F483" s="4"/>
      <c r="G483" s="4"/>
      <c r="H483" s="4"/>
    </row>
    <row r="484" spans="1:8" x14ac:dyDescent="0.3">
      <c r="A484" s="10" t="s">
        <v>520</v>
      </c>
      <c r="B484" s="10" t="s">
        <v>113</v>
      </c>
      <c r="C484" s="10" t="s">
        <v>521</v>
      </c>
      <c r="D484" s="10" t="s">
        <v>522</v>
      </c>
      <c r="E484" s="4"/>
      <c r="F484" s="4"/>
      <c r="G484" s="4"/>
      <c r="H484" s="4"/>
    </row>
    <row r="485" spans="1:8" x14ac:dyDescent="0.3">
      <c r="A485" s="4" t="s">
        <v>523</v>
      </c>
      <c r="B485" s="4" t="s">
        <v>524</v>
      </c>
      <c r="C485" s="4" t="s">
        <v>525</v>
      </c>
      <c r="D485" s="4" t="s">
        <v>526</v>
      </c>
      <c r="E485" s="4"/>
      <c r="F485" s="4"/>
      <c r="G485" s="4"/>
      <c r="H485" s="4"/>
    </row>
    <row r="486" spans="1:8" x14ac:dyDescent="0.3">
      <c r="A486" s="4" t="s">
        <v>523</v>
      </c>
      <c r="B486" s="4" t="s">
        <v>117</v>
      </c>
      <c r="C486" s="4" t="s">
        <v>525</v>
      </c>
      <c r="D486" s="4" t="s">
        <v>526</v>
      </c>
      <c r="E486" s="4"/>
      <c r="F486" s="4"/>
      <c r="G486" s="4"/>
      <c r="H486" s="4"/>
    </row>
    <row r="487" spans="1:8" x14ac:dyDescent="0.3">
      <c r="A487" s="4" t="s">
        <v>527</v>
      </c>
      <c r="B487" s="4" t="s">
        <v>528</v>
      </c>
      <c r="C487" s="4" t="s">
        <v>356</v>
      </c>
      <c r="D487" s="4" t="s">
        <v>529</v>
      </c>
      <c r="E487" s="4"/>
      <c r="F487" s="4"/>
      <c r="G487" s="4"/>
      <c r="H487" s="4"/>
    </row>
    <row r="488" spans="1:8" x14ac:dyDescent="0.3">
      <c r="A488" s="4" t="s">
        <v>527</v>
      </c>
      <c r="B488" s="4" t="s">
        <v>530</v>
      </c>
      <c r="C488" s="4" t="s">
        <v>356</v>
      </c>
      <c r="D488" s="4" t="s">
        <v>529</v>
      </c>
      <c r="E488" s="4"/>
      <c r="F488" s="4"/>
      <c r="G488" s="4"/>
      <c r="H488" s="4"/>
    </row>
    <row r="489" spans="1:8" x14ac:dyDescent="0.3">
      <c r="A489" s="4" t="s">
        <v>124</v>
      </c>
      <c r="B489" s="4" t="s">
        <v>531</v>
      </c>
      <c r="C489" s="4" t="s">
        <v>532</v>
      </c>
      <c r="D489" s="4" t="s">
        <v>526</v>
      </c>
      <c r="E489" s="4"/>
      <c r="F489" s="4"/>
      <c r="G489" s="4"/>
      <c r="H489" s="4"/>
    </row>
    <row r="490" spans="1:8" x14ac:dyDescent="0.3">
      <c r="A490" s="4" t="s">
        <v>124</v>
      </c>
      <c r="B490" s="4" t="s">
        <v>533</v>
      </c>
      <c r="C490" s="4" t="s">
        <v>532</v>
      </c>
      <c r="D490" s="4" t="s">
        <v>526</v>
      </c>
      <c r="E490" s="4"/>
      <c r="F490" s="4"/>
      <c r="G490" s="4"/>
      <c r="H490" s="4"/>
    </row>
    <row r="491" spans="1:8" x14ac:dyDescent="0.3">
      <c r="A491" s="4" t="s">
        <v>534</v>
      </c>
      <c r="B491" s="4" t="s">
        <v>535</v>
      </c>
      <c r="C491" s="4" t="s">
        <v>536</v>
      </c>
      <c r="D491" s="4" t="s">
        <v>537</v>
      </c>
      <c r="E491" s="4"/>
    </row>
    <row r="492" spans="1:8" x14ac:dyDescent="0.3">
      <c r="A492" s="4" t="s">
        <v>534</v>
      </c>
      <c r="B492" s="4" t="s">
        <v>538</v>
      </c>
      <c r="C492" s="4" t="s">
        <v>536</v>
      </c>
      <c r="D492" s="4" t="s">
        <v>537</v>
      </c>
      <c r="E492" s="4"/>
    </row>
    <row r="493" spans="1:8" x14ac:dyDescent="0.3">
      <c r="A493" s="4"/>
      <c r="B493" s="4"/>
      <c r="C493" s="4"/>
      <c r="D493" s="4"/>
      <c r="E493" s="4"/>
    </row>
    <row r="494" spans="1:8" x14ac:dyDescent="0.3">
      <c r="A494" s="40" t="s">
        <v>539</v>
      </c>
      <c r="B494" s="4"/>
      <c r="C494" s="4"/>
      <c r="D494" s="4"/>
      <c r="E494" s="4"/>
    </row>
    <row r="495" spans="1:8" x14ac:dyDescent="0.3">
      <c r="A495" s="40" t="s">
        <v>113</v>
      </c>
      <c r="B495" s="40" t="s">
        <v>540</v>
      </c>
      <c r="C495" s="40" t="s">
        <v>541</v>
      </c>
      <c r="D495" s="4"/>
      <c r="E495" s="4"/>
    </row>
    <row r="496" spans="1:8" x14ac:dyDescent="0.3">
      <c r="A496" s="4" t="s">
        <v>530</v>
      </c>
      <c r="B496" s="40" t="str">
        <f>INDEX(A485:A492,MATCH(A496,B485:B492,0))</f>
        <v>Thomas Nguyen</v>
      </c>
      <c r="C496" s="4" t="s">
        <v>542</v>
      </c>
      <c r="D496" s="4"/>
      <c r="E496" s="4"/>
    </row>
    <row r="497" spans="1:5" x14ac:dyDescent="0.3">
      <c r="A497" s="4" t="s">
        <v>535</v>
      </c>
      <c r="B497" s="40" t="str">
        <f>INDEX(A485:A492,MATCH(A497,B485:B492,0))</f>
        <v>David Brown</v>
      </c>
      <c r="C497" s="4" t="s">
        <v>543</v>
      </c>
      <c r="D497" s="4"/>
      <c r="E497" s="4"/>
    </row>
    <row r="498" spans="1:5" x14ac:dyDescent="0.3">
      <c r="A498" s="4" t="s">
        <v>117</v>
      </c>
      <c r="B498" s="40" t="str">
        <f>INDEX(A485:A492,MATCH(A498,B485:B492,0))</f>
        <v>Maria Gomez</v>
      </c>
      <c r="C498" s="4" t="s">
        <v>544</v>
      </c>
      <c r="D498" s="4"/>
      <c r="E498" s="4"/>
    </row>
    <row r="499" spans="1:5" x14ac:dyDescent="0.3">
      <c r="A499" s="4"/>
      <c r="B499" s="4"/>
      <c r="C499" s="4"/>
      <c r="D499" s="4"/>
      <c r="E499" s="4"/>
    </row>
    <row r="500" spans="1:5" x14ac:dyDescent="0.3">
      <c r="A500" s="4"/>
      <c r="B500" s="41" t="str">
        <f ca="1">_xlfn.FORMULATEXT(B496)</f>
        <v>=INDEX(A485:A492,MATCH(A496,B485:B492,0))</v>
      </c>
      <c r="C500" s="41"/>
      <c r="D500" s="4"/>
      <c r="E500" s="4"/>
    </row>
    <row r="501" spans="1:5" x14ac:dyDescent="0.3">
      <c r="A501" s="4"/>
      <c r="B501" s="4"/>
      <c r="C501" s="4"/>
      <c r="D501" s="4"/>
      <c r="E501" s="4"/>
    </row>
    <row r="502" spans="1:5" x14ac:dyDescent="0.3">
      <c r="A502" s="29" t="s">
        <v>548</v>
      </c>
      <c r="B502" s="4"/>
      <c r="C502" s="4"/>
      <c r="D502" s="4"/>
      <c r="E502" s="4"/>
    </row>
    <row r="503" spans="1:5" x14ac:dyDescent="0.3">
      <c r="A503" s="4" t="s">
        <v>549</v>
      </c>
      <c r="B503" s="4"/>
      <c r="C503" s="4"/>
      <c r="D503" s="4"/>
      <c r="E503" s="4"/>
    </row>
    <row r="504" spans="1:5" x14ac:dyDescent="0.3">
      <c r="A504" s="4"/>
      <c r="B504" s="4"/>
      <c r="C504" s="4"/>
      <c r="D504" s="4"/>
      <c r="E504" s="4"/>
    </row>
    <row r="505" spans="1:5" x14ac:dyDescent="0.3">
      <c r="A505" s="4" t="s">
        <v>550</v>
      </c>
    </row>
    <row r="506" spans="1:5" x14ac:dyDescent="0.3">
      <c r="A506" s="4"/>
    </row>
    <row r="507" spans="1:5" x14ac:dyDescent="0.3">
      <c r="A507" s="4" t="s">
        <v>591</v>
      </c>
    </row>
    <row r="508" spans="1:5" x14ac:dyDescent="0.3">
      <c r="A508" s="4" t="s">
        <v>592</v>
      </c>
    </row>
    <row r="509" spans="1:5" x14ac:dyDescent="0.3">
      <c r="A509" s="4"/>
    </row>
    <row r="510" spans="1:5" x14ac:dyDescent="0.3">
      <c r="A510" s="4" t="s">
        <v>593</v>
      </c>
    </row>
    <row r="511" spans="1:5" x14ac:dyDescent="0.3">
      <c r="A511" s="4"/>
    </row>
    <row r="512" spans="1:5" x14ac:dyDescent="0.3">
      <c r="A512" s="4" t="s">
        <v>551</v>
      </c>
    </row>
    <row r="513" spans="1:4" x14ac:dyDescent="0.3">
      <c r="A513" s="4"/>
    </row>
    <row r="514" spans="1:4" x14ac:dyDescent="0.3">
      <c r="A514" s="4" t="s">
        <v>594</v>
      </c>
    </row>
    <row r="515" spans="1:4" x14ac:dyDescent="0.3">
      <c r="A515" s="4" t="s">
        <v>595</v>
      </c>
    </row>
    <row r="516" spans="1:4" x14ac:dyDescent="0.3">
      <c r="A516" s="4"/>
    </row>
    <row r="517" spans="1:4" x14ac:dyDescent="0.3">
      <c r="A517" s="4" t="s">
        <v>552</v>
      </c>
    </row>
    <row r="519" spans="1:4" x14ac:dyDescent="0.3">
      <c r="A519" s="7" t="s">
        <v>553</v>
      </c>
      <c r="B519" s="7" t="s">
        <v>403</v>
      </c>
      <c r="C519" s="7" t="s">
        <v>404</v>
      </c>
      <c r="D519" s="7" t="s">
        <v>554</v>
      </c>
    </row>
    <row r="520" spans="1:4" s="4" customFormat="1" x14ac:dyDescent="0.3">
      <c r="A520" s="4" t="s">
        <v>555</v>
      </c>
      <c r="B520" s="4" t="s">
        <v>556</v>
      </c>
      <c r="C520" s="4" t="s">
        <v>557</v>
      </c>
      <c r="D520" s="4" t="s">
        <v>558</v>
      </c>
    </row>
    <row r="521" spans="1:4" s="4" customFormat="1" x14ac:dyDescent="0.3">
      <c r="A521" s="4" t="s">
        <v>559</v>
      </c>
      <c r="B521" s="4" t="s">
        <v>560</v>
      </c>
      <c r="C521" s="4" t="s">
        <v>561</v>
      </c>
      <c r="D521" s="4" t="s">
        <v>558</v>
      </c>
    </row>
    <row r="522" spans="1:4" s="4" customFormat="1" x14ac:dyDescent="0.3">
      <c r="A522" s="4" t="s">
        <v>562</v>
      </c>
      <c r="B522" s="4" t="s">
        <v>563</v>
      </c>
      <c r="C522" s="4" t="s">
        <v>564</v>
      </c>
      <c r="D522" s="4" t="s">
        <v>565</v>
      </c>
    </row>
    <row r="523" spans="1:4" s="4" customFormat="1" x14ac:dyDescent="0.3">
      <c r="A523" s="4" t="s">
        <v>566</v>
      </c>
      <c r="B523" s="4" t="s">
        <v>567</v>
      </c>
      <c r="C523" s="4" t="s">
        <v>568</v>
      </c>
      <c r="D523" s="4" t="s">
        <v>569</v>
      </c>
    </row>
    <row r="524" spans="1:4" s="4" customFormat="1" x14ac:dyDescent="0.3">
      <c r="A524" s="4" t="s">
        <v>570</v>
      </c>
      <c r="B524" s="4" t="s">
        <v>571</v>
      </c>
      <c r="C524" s="4" t="s">
        <v>572</v>
      </c>
      <c r="D524" s="4" t="s">
        <v>565</v>
      </c>
    </row>
    <row r="525" spans="1:4" s="4" customFormat="1" x14ac:dyDescent="0.3">
      <c r="A525" s="4" t="s">
        <v>573</v>
      </c>
      <c r="B525" s="4" t="s">
        <v>574</v>
      </c>
      <c r="C525" s="4" t="s">
        <v>575</v>
      </c>
      <c r="D525" s="4" t="s">
        <v>558</v>
      </c>
    </row>
    <row r="526" spans="1:4" s="4" customFormat="1" x14ac:dyDescent="0.3">
      <c r="A526" s="4" t="s">
        <v>576</v>
      </c>
      <c r="B526" s="4" t="s">
        <v>577</v>
      </c>
      <c r="C526" s="4" t="s">
        <v>578</v>
      </c>
      <c r="D526" s="4" t="s">
        <v>569</v>
      </c>
    </row>
    <row r="527" spans="1:4" s="4" customFormat="1" x14ac:dyDescent="0.3">
      <c r="A527" s="4" t="s">
        <v>579</v>
      </c>
      <c r="B527" s="4" t="s">
        <v>580</v>
      </c>
      <c r="C527" s="4" t="s">
        <v>581</v>
      </c>
      <c r="D527" s="4" t="s">
        <v>565</v>
      </c>
    </row>
    <row r="528" spans="1:4" x14ac:dyDescent="0.3">
      <c r="A528" s="4"/>
      <c r="B528" s="4"/>
      <c r="C528" s="4"/>
      <c r="D528" s="4"/>
    </row>
    <row r="529" spans="1:5" x14ac:dyDescent="0.3">
      <c r="A529" s="43" t="s">
        <v>582</v>
      </c>
      <c r="B529" s="43" t="s">
        <v>403</v>
      </c>
      <c r="C529" s="43" t="s">
        <v>583</v>
      </c>
      <c r="D529" s="43" t="s">
        <v>584</v>
      </c>
    </row>
    <row r="530" spans="1:5" s="4" customFormat="1" x14ac:dyDescent="0.3">
      <c r="A530" s="4" t="s">
        <v>585</v>
      </c>
      <c r="B530" s="4" t="s">
        <v>577</v>
      </c>
      <c r="C530" s="5" t="str">
        <f>INDEX(A520:A527,MATCH(B530,B520:B527,0))</f>
        <v>ingrid.larsen@northwind.com</v>
      </c>
      <c r="D530" s="4" t="s">
        <v>586</v>
      </c>
    </row>
    <row r="531" spans="1:5" s="4" customFormat="1" x14ac:dyDescent="0.3">
      <c r="A531" s="4" t="s">
        <v>587</v>
      </c>
      <c r="B531" s="4" t="s">
        <v>560</v>
      </c>
      <c r="C531" s="5" t="str">
        <f t="shared" ref="C531:C532" si="19">INDEX(A521:A528,MATCH(B531,B521:B528,0))</f>
        <v>bianca.chen@northwind.com</v>
      </c>
      <c r="D531" s="4" t="s">
        <v>588</v>
      </c>
    </row>
    <row r="532" spans="1:5" s="4" customFormat="1" x14ac:dyDescent="0.3">
      <c r="A532" s="4" t="s">
        <v>589</v>
      </c>
      <c r="B532" s="4" t="s">
        <v>563</v>
      </c>
      <c r="C532" s="5" t="str">
        <f t="shared" si="19"/>
        <v>diego.souza@northwind.com</v>
      </c>
      <c r="D532" s="4" t="s">
        <v>590</v>
      </c>
    </row>
    <row r="533" spans="1:5" s="4" customFormat="1" x14ac:dyDescent="0.3"/>
    <row r="534" spans="1:5" s="4" customFormat="1" x14ac:dyDescent="0.3">
      <c r="C534" s="4" t="str">
        <f ca="1">_xlfn.FORMULATEXT(C530)</f>
        <v>=INDEX(A520:A527,MATCH(B530,B520:B527,0))</v>
      </c>
    </row>
    <row r="536" spans="1:5" x14ac:dyDescent="0.3">
      <c r="A536" s="29" t="s">
        <v>596</v>
      </c>
    </row>
    <row r="537" spans="1:5" ht="124.2" x14ac:dyDescent="0.3">
      <c r="A537" s="2" t="s">
        <v>597</v>
      </c>
    </row>
    <row r="539" spans="1:5" x14ac:dyDescent="0.3">
      <c r="A539" s="7" t="s">
        <v>383</v>
      </c>
      <c r="B539" s="7" t="s">
        <v>598</v>
      </c>
      <c r="C539" s="7" t="s">
        <v>599</v>
      </c>
      <c r="D539" s="7" t="s">
        <v>600</v>
      </c>
      <c r="E539" s="7" t="s">
        <v>601</v>
      </c>
    </row>
    <row r="540" spans="1:5" x14ac:dyDescent="0.3">
      <c r="A540" s="4" t="s">
        <v>602</v>
      </c>
      <c r="B540" s="4">
        <v>5</v>
      </c>
      <c r="C540" s="4">
        <v>7</v>
      </c>
      <c r="D540" s="4">
        <v>10</v>
      </c>
      <c r="E540" s="4">
        <v>14</v>
      </c>
    </row>
    <row r="541" spans="1:5" x14ac:dyDescent="0.3">
      <c r="A541" s="4" t="s">
        <v>603</v>
      </c>
      <c r="B541" s="4">
        <v>9</v>
      </c>
      <c r="C541" s="4">
        <v>12</v>
      </c>
      <c r="D541" s="4">
        <v>16</v>
      </c>
      <c r="E541" s="4">
        <v>22</v>
      </c>
    </row>
    <row r="542" spans="1:5" x14ac:dyDescent="0.3">
      <c r="A542" s="4" t="s">
        <v>604</v>
      </c>
      <c r="B542" s="4">
        <v>14</v>
      </c>
      <c r="C542" s="4">
        <v>19</v>
      </c>
      <c r="D542" s="4">
        <v>28</v>
      </c>
      <c r="E542" s="4">
        <v>40</v>
      </c>
    </row>
    <row r="543" spans="1:5" x14ac:dyDescent="0.3">
      <c r="A543" s="4" t="s">
        <v>605</v>
      </c>
      <c r="B543" s="4">
        <v>24</v>
      </c>
      <c r="C543" s="4">
        <v>33</v>
      </c>
      <c r="D543" s="4">
        <v>48</v>
      </c>
      <c r="E543" s="4">
        <v>68</v>
      </c>
    </row>
    <row r="544" spans="1:5" x14ac:dyDescent="0.3">
      <c r="A544" s="4" t="s">
        <v>606</v>
      </c>
      <c r="B544" s="4">
        <v>30</v>
      </c>
      <c r="C544" s="4">
        <v>42</v>
      </c>
      <c r="D544" s="4">
        <v>60</v>
      </c>
      <c r="E544" s="4">
        <v>85</v>
      </c>
    </row>
    <row r="545" spans="1:5" x14ac:dyDescent="0.3">
      <c r="A545" s="4"/>
      <c r="B545" s="4"/>
      <c r="C545" s="4"/>
      <c r="D545" s="4"/>
      <c r="E545" s="4"/>
    </row>
    <row r="546" spans="1:5" x14ac:dyDescent="0.3">
      <c r="A546" s="4" t="s">
        <v>607</v>
      </c>
      <c r="B546" s="4" t="s">
        <v>604</v>
      </c>
      <c r="C546" s="4"/>
      <c r="D546" s="4"/>
      <c r="E546" s="4"/>
    </row>
    <row r="547" spans="1:5" x14ac:dyDescent="0.3">
      <c r="A547" s="4" t="s">
        <v>608</v>
      </c>
      <c r="B547" s="4" t="s">
        <v>600</v>
      </c>
      <c r="C547" s="4"/>
      <c r="D547" s="4"/>
      <c r="E547" s="4"/>
    </row>
    <row r="548" spans="1:5" x14ac:dyDescent="0.3">
      <c r="A548" s="4" t="s">
        <v>609</v>
      </c>
      <c r="B548" s="5">
        <f>INDEX(B540:E544,MATCH(B546,A540:A544),MATCH(B547,B539:E539,0))</f>
        <v>28</v>
      </c>
      <c r="C548" s="4"/>
      <c r="D548" s="4"/>
      <c r="E548" s="4"/>
    </row>
    <row r="550" spans="1:5" x14ac:dyDescent="0.3">
      <c r="B550" s="44" t="str">
        <f ca="1">_xlfn.FORMULATEXT(B548)</f>
        <v>=INDEX(B540:E544,MATCH(B546,A540:A544),MATCH(B547,B539:E539,0))</v>
      </c>
    </row>
    <row r="551" spans="1:5" x14ac:dyDescent="0.3">
      <c r="B551" s="44"/>
    </row>
    <row r="552" spans="1:5" x14ac:dyDescent="0.3">
      <c r="B552" s="44"/>
    </row>
  </sheetData>
  <mergeCells count="7">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2026-06-21T14:15:34Z</dcterms:modified>
</cp:coreProperties>
</file>