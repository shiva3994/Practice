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Practice/Daily Excel/"/>
    </mc:Choice>
  </mc:AlternateContent>
  <xr:revisionPtr revIDLastSave="47" documentId="8_{E0CD9693-A966-48B1-8504-D3B1BCEC178F}" xr6:coauthVersionLast="47" xr6:coauthVersionMax="47" xr10:uidLastSave="{4594BBB7-63D6-4A90-8806-ED759984474B}"/>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216" i="1" l="1"/>
  <c r="E1217" i="1"/>
  <c r="E1218" i="1"/>
  <c r="E1219" i="1"/>
  <c r="E1220" i="1"/>
  <c r="E1215" i="1"/>
  <c r="C1199" i="1"/>
  <c r="B1199" i="1"/>
  <c r="E1199" i="1" s="1"/>
  <c r="B1200" i="1"/>
  <c r="D1200" i="1" s="1"/>
  <c r="B1201" i="1"/>
  <c r="C1201" i="1" s="1"/>
  <c r="B1198" i="1"/>
  <c r="C1198" i="1" s="1"/>
  <c r="B1172" i="1"/>
  <c r="B1173" i="1" s="1"/>
  <c r="B1129" i="1"/>
  <c r="B1147" i="1"/>
  <c r="K1098" i="1"/>
  <c r="K1099" i="1"/>
  <c r="K1100" i="1"/>
  <c r="K1101" i="1"/>
  <c r="K1102" i="1"/>
  <c r="K1103" i="1"/>
  <c r="K1104" i="1"/>
  <c r="K1097" i="1"/>
  <c r="C1108" i="1"/>
  <c r="C1107" i="1"/>
  <c r="B1071" i="1"/>
  <c r="B1070" i="1"/>
  <c r="B1069" i="1"/>
  <c r="G1031" i="1"/>
  <c r="B1010" i="1"/>
  <c r="B1011" i="1"/>
  <c r="B1012" i="1"/>
  <c r="B1009" i="1"/>
  <c r="B979" i="1"/>
  <c r="B934" i="1"/>
  <c r="B935" i="1"/>
  <c r="B933" i="1"/>
  <c r="E878" i="1"/>
  <c r="E879" i="1"/>
  <c r="E880" i="1"/>
  <c r="E881" i="1"/>
  <c r="E882" i="1"/>
  <c r="E883" i="1"/>
  <c r="E884" i="1"/>
  <c r="E885" i="1"/>
  <c r="E886" i="1"/>
  <c r="E887" i="1"/>
  <c r="E888" i="1"/>
  <c r="E889" i="1"/>
  <c r="E890" i="1"/>
  <c r="E891" i="1"/>
  <c r="E877" i="1"/>
  <c r="F864" i="1"/>
  <c r="G864" i="1" s="1"/>
  <c r="F865" i="1"/>
  <c r="G865" i="1" s="1"/>
  <c r="F866" i="1"/>
  <c r="G866" i="1" s="1"/>
  <c r="F867" i="1"/>
  <c r="G867" i="1" s="1"/>
  <c r="F868" i="1"/>
  <c r="G868" i="1" s="1"/>
  <c r="F863" i="1"/>
  <c r="G863" i="1" s="1"/>
  <c r="C846" i="1"/>
  <c r="B825" i="1"/>
  <c r="B824" i="1"/>
  <c r="B823" i="1"/>
  <c r="B791" i="1"/>
  <c r="C786" i="1"/>
  <c r="B786" i="1"/>
  <c r="B787" i="1" s="1"/>
  <c r="D772" i="1"/>
  <c r="D771" i="1"/>
  <c r="C763" i="1"/>
  <c r="C762" i="1"/>
  <c r="C753" i="1"/>
  <c r="C754" i="1"/>
  <c r="C752" i="1"/>
  <c r="D726" i="1" a="1"/>
  <c r="D726" i="1" s="1"/>
  <c r="D727" i="1" a="1"/>
  <c r="D727" i="1" s="1"/>
  <c r="D728" i="1" a="1"/>
  <c r="D728" i="1" s="1"/>
  <c r="D729" i="1" a="1"/>
  <c r="D729" i="1" s="1"/>
  <c r="D730" i="1" a="1"/>
  <c r="D730" i="1" s="1"/>
  <c r="D731" i="1" a="1"/>
  <c r="D731" i="1" s="1"/>
  <c r="D732" i="1" a="1"/>
  <c r="D732" i="1" s="1"/>
  <c r="D725" i="1" a="1"/>
  <c r="D725" i="1" s="1"/>
  <c r="C726" i="1" a="1"/>
  <c r="C726" i="1" s="1"/>
  <c r="C727" i="1" a="1"/>
  <c r="C727" i="1" s="1"/>
  <c r="C728" i="1" a="1"/>
  <c r="C728" i="1" s="1"/>
  <c r="C729" i="1" a="1"/>
  <c r="C729" i="1" s="1"/>
  <c r="C730" i="1" a="1"/>
  <c r="C730" i="1" s="1"/>
  <c r="C731" i="1" a="1"/>
  <c r="C731" i="1" s="1"/>
  <c r="C732" i="1" a="1"/>
  <c r="C732" i="1" s="1"/>
  <c r="C725" i="1" a="1"/>
  <c r="C725" i="1" s="1"/>
  <c r="C691" i="1"/>
  <c r="C710" i="1" a="1"/>
  <c r="C710" i="1" s="1"/>
  <c r="C716" i="1" a="1"/>
  <c r="C716" i="1" s="1"/>
  <c r="C709" i="1" a="1"/>
  <c r="C709" i="1" s="1"/>
  <c r="C713" i="1" a="1"/>
  <c r="C713" i="1" s="1"/>
  <c r="C711" i="1" a="1"/>
  <c r="C711" i="1" s="1"/>
  <c r="C712" i="1" a="1"/>
  <c r="C712" i="1" s="1"/>
  <c r="C714" i="1" a="1"/>
  <c r="C714" i="1" s="1"/>
  <c r="C715" i="1" a="1"/>
  <c r="C715" i="1" s="1"/>
  <c r="C692" i="1"/>
  <c r="C693" i="1"/>
  <c r="C694" i="1"/>
  <c r="C695" i="1"/>
  <c r="C696" i="1"/>
  <c r="C697" i="1"/>
  <c r="C698" i="1"/>
  <c r="C676" i="1"/>
  <c r="C677" i="1"/>
  <c r="C678" i="1"/>
  <c r="C679" i="1"/>
  <c r="C680" i="1"/>
  <c r="C681" i="1"/>
  <c r="C682" i="1"/>
  <c r="C675" i="1"/>
  <c r="D663" i="1"/>
  <c r="D664" i="1"/>
  <c r="D665" i="1"/>
  <c r="D666" i="1"/>
  <c r="D667" i="1"/>
  <c r="D662" i="1"/>
  <c r="E643" i="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F1200" i="1"/>
  <c r="F1198" i="1"/>
  <c r="F1215" i="1"/>
  <c r="C359" i="1"/>
  <c r="C476" i="1"/>
  <c r="C894" i="1"/>
  <c r="G441" i="1"/>
  <c r="C477" i="1"/>
  <c r="B702" i="1"/>
  <c r="B500" i="1"/>
  <c r="B743" i="1"/>
  <c r="C765" i="1"/>
  <c r="I1106" i="1"/>
  <c r="C824" i="1"/>
  <c r="C669" i="1"/>
  <c r="C427" i="1"/>
  <c r="B684" i="1"/>
  <c r="E627" i="1"/>
  <c r="D269" i="1"/>
  <c r="C534" i="1"/>
  <c r="B795" i="1"/>
  <c r="B256" i="1"/>
  <c r="B1073" i="1"/>
  <c r="D653" i="1"/>
  <c r="G869" i="1"/>
  <c r="C847" i="1"/>
  <c r="G315" i="1"/>
  <c r="B742" i="1"/>
  <c r="E295" i="1"/>
  <c r="D774" i="1"/>
  <c r="C610" i="1"/>
  <c r="C585" i="1"/>
  <c r="B1013" i="1"/>
  <c r="C343" i="1"/>
  <c r="B464" i="1"/>
  <c r="B411" i="1"/>
  <c r="E204" i="1"/>
  <c r="C823" i="1"/>
  <c r="B550" i="1"/>
  <c r="B980" i="1"/>
  <c r="E894" i="1"/>
  <c r="B937" i="1"/>
  <c r="G1032" i="1"/>
  <c r="C236" i="1"/>
  <c r="D283" i="1"/>
  <c r="D385" i="1"/>
  <c r="B572" i="1"/>
  <c r="B718" i="1"/>
  <c r="B756" i="1"/>
  <c r="F869" i="1"/>
  <c r="C825" i="1"/>
  <c r="C1200" i="1" l="1"/>
  <c r="D1198" i="1"/>
  <c r="D1199" i="1"/>
  <c r="E1198" i="1"/>
  <c r="C1109" i="1"/>
  <c r="C1110" i="1"/>
  <c r="B896" i="1"/>
  <c r="B895" i="1"/>
  <c r="B894" i="1"/>
  <c r="B898" i="1"/>
  <c r="B897" i="1"/>
  <c r="B792" i="1"/>
  <c r="B793" i="1" s="1"/>
  <c r="C787" i="1"/>
  <c r="B790" i="1"/>
  <c r="F317" i="1"/>
  <c r="D299" i="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<sst xmlns="http://schemas.openxmlformats.org/spreadsheetml/2006/main" count="1573" uniqueCount="1175">
  <si>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</si>
  <si>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</si>
  <si>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</si>
  <si>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</si>
  <si>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</si>
  <si>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</si>
  <si>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</si>
  <si>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</si>
  <si>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</si>
  <si>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</si>
  <si>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</si>
  <si>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</si>
  <si>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</si>
  <si>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</si>
  <si>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</si>
  <si>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</si>
  <si>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</si>
  <si>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</si>
  <si>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</si>
  <si>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</si>
  <si>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</si>
  <si>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</si>
  <si>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</si>
  <si>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</si>
  <si>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</si>
  <si>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</si>
  <si>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</si>
  <si>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</si>
  <si>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</si>
  <si>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</si>
  <si>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</si>
  <si>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</si>
  <si>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</si>
  <si>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</si>
  <si>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</si>
  <si>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</si>
  <si>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</si>
  <si>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</si>
  <si>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</si>
  <si>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</si>
  <si>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</si>
  <si>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</si>
  <si>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</si>
  <si>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</si>
  <si>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</si>
  <si>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</si>
  <si>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</si>
  <si>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</si>
  <si>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</si>
  <si>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</si>
  <si>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</si>
  <si>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</si>
  <si>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</si>
  <si>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</si>
  <si>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</si>
  <si>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</si>
  <si>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</si>
  <si>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</si>
  <si>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</si>
  <si>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</si>
  <si>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</si>
  <si>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</si>
  <si>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</si>
  <si>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</si>
  <si>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</si>
  <si>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</si>
  <si>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</si>
  <si>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</si>
  <si>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</si>
  <si>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</si>
  <si>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</si>
  <si>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</si>
  <si>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</si>
  <si>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</si>
  <si>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</si>
  <si>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</si>
  <si>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</si>
  <si>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</si>
  <si>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</si>
  <si>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</si>
  <si>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</si>
  <si>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</si>
  <si>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</si>
  <si>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</si>
  <si>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</si>
  <si>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</si>
  <si>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</si>
  <si>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</si>
  <si>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</si>
  <si>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</si>
  <si>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</si>
  <si>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</si>
  <si>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</si>
  <si>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</si>
  <si>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</si>
  <si>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</si>
  <si>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</si>
  <si>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</si>
  <si>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</si>
  <si>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</si>
  <si>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</si>
  <si>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</si>
  <si>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</si>
  <si>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</si>
  <si>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</si>
  <si>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</si>
  <si>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</si>
  <si>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</si>
  <si>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</si>
  <si>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</si>
  <si>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</si>
  <si>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</si>
  <si>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</si>
  <si>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</si>
  <si>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</si>
  <si>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</si>
  <si>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</si>
  <si>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</si>
  <si>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</si>
  <si>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</si>
  <si>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</si>
  <si>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</si>
  <si>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</si>
  <si>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</si>
  <si>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</si>
  <si>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</si>
  <si>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</si>
  <si>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</si>
  <si>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</si>
  <si>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</si>
  <si>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</si>
  <si>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</si>
  <si>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</si>
  <si>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</si>
  <si>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</si>
  <si>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</si>
  <si>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</si>
  <si>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</si>
  <si>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</si>
  <si>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</si>
  <si>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</si>
  <si>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</si>
  <si>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</si>
  <si>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</si>
  <si>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</si>
  <si>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</si>
  <si>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</si>
  <si>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</si>
  <si>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</si>
  <si>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</si>
  <si>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</si>
  <si>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</si>
  <si>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</si>
  <si>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</si>
  <si>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</si>
  <si>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</si>
  <si>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</si>
  <si>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</si>
  <si>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</si>
  <si>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</si>
  <si>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</si>
  <si>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</si>
  <si>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</si>
  <si>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</si>
  <si>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</si>
  <si>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</si>
  <si>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</si>
  <si>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</si>
  <si>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</si>
  <si>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</si>
  <si>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</si>
  <si>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</si>
  <si>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</si>
  <si>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</si>
  <si>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</si>
  <si>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</si>
  <si>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</si>
  <si>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</si>
  <si>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</si>
  <si>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</si>
  <si>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</si>
  <si>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</si>
  <si>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</si>
  <si>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</si>
  <si>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</si>
  <si>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</si>
  <si>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</si>
  <si>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</si>
  <si>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</si>
  <si>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</si>
  <si>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</si>
  <si>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</si>
  <si>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</si>
  <si>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</si>
  <si>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</si>
  <si>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</si>
  <si>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</si>
  <si>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</si>
  <si>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</si>
  <si>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</si>
  <si>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</si>
  <si>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</si>
  <si>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</si>
  <si>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</si>
  <si>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</si>
  <si>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</si>
  <si>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</si>
  <si>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</si>
  <si>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</si>
  <si>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</si>
  <si>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</si>
  <si>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</si>
  <si>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</si>
  <si>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</si>
  <si>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</si>
  <si>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</si>
  <si>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</si>
  <si>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</si>
  <si>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</si>
  <si>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</si>
  <si>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</si>
  <si>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</si>
  <si>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</si>
  <si>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</si>
  <si>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</si>
  <si>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</si>
  <si>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</si>
  <si>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</si>
  <si>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</si>
  <si>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</si>
  <si>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</si>
  <si>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</si>
  <si>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</si>
  <si>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</si>
  <si>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</si>
  <si>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</si>
  <si>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</si>
  <si>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</si>
  <si>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</si>
  <si>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</si>
  <si>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</si>
  <si>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</si>
  <si>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</si>
  <si>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</si>
  <si>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</si>
  <si>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</si>
  <si>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</si>
  <si>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</si>
  <si>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</si>
  <si>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</si>
  <si>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</si>
  <si>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</si>
  <si>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</si>
  <si>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</si>
  <si>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</si>
  <si>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</si>
  <si>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</si>
  <si>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</si>
  <si>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</si>
  <si>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</si>
  <si>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</si>
  <si>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</si>
  <si>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</si>
  <si>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</si>
  <si>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</si>
  <si>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</si>
  <si>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</si>
  <si>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</si>
  <si>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</si>
  <si>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</si>
  <si>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</si>
  <si>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</si>
  <si>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</si>
  <si>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</si>
  <si>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</si>
  <si>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</si>
  <si>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</si>
  <si>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</si>
  <si>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</si>
  <si>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</si>
  <si>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</si>
  <si>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</si>
  <si>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</si>
  <si>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</si>
  <si>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</si>
  <si>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</si>
  <si>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</si>
  <si>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</si>
  <si>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</si>
  <si>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</si>
  <si>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</si>
  <si>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</si>
  <si>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</si>
  <si>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</si>
  <si>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</si>
  <si>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</si>
  <si>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</si>
  <si>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</si>
  <si>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</si>
  <si>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</si>
  <si>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</si>
  <si>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</si>
  <si>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</si>
  <si>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</si>
  <si>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</si>
  <si>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</si>
  <si>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</si>
  <si>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</si>
  <si>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</si>
  <si>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</si>
  <si>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</si>
  <si>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</si>
  <si>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</si>
  <si>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</si>
  <si>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</si>
  <si>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</si>
  <si>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</si>
  <si>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</si>
  <si>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</si>
  <si>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</si>
  <si>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</si>
  <si>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</si>
  <si>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</si>
  <si>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</si>
  <si>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</si>
  <si>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</si>
  <si>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</si>
  <si>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</si>
  <si>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</si>
  <si>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</si>
  <si>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</si>
  <si>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</si>
  <si>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</si>
  <si>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</si>
  <si>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</si>
  <si>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</si>
  <si>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</si>
  <si>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</si>
  <si>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</si>
  <si>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</si>
  <si>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</si>
  <si>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</si>
  <si>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</si>
  <si>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</si>
  <si>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</si>
  <si>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</si>
  <si>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</si>
  <si>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</si>
  <si>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</si>
  <si>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</si>
  <si>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</si>
  <si>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</si>
  <si>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</si>
  <si>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</si>
  <si>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</si>
  <si>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</si>
  <si>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</si>
  <si>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</si>
  <si>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</si>
  <si>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</si>
  <si>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</si>
  <si>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</si>
  <si>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</si>
  <si>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</si>
  <si>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</si>
  <si>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</si>
  <si>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</si>
  <si>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</si>
  <si>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</si>
  <si>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</si>
  <si>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</si>
  <si>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</si>
  <si>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</si>
  <si>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</si>
  <si>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</si>
  <si>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</si>
  <si>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</si>
  <si>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</si>
  <si>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</si>
  <si>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</si>
  <si>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</si>
  <si>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</si>
  <si>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</si>
  <si>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</si>
  <si>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</si>
  <si>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</si>
  <si>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</si>
  <si>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</si>
  <si>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</si>
  <si>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</si>
  <si>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</si>
  <si>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</si>
  <si>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</si>
  <si>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</si>
  <si>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</si>
  <si>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</si>
  <si>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</si>
  <si>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</si>
  <si>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</si>
  <si>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</si>
  <si>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</si>
  <si>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</si>
  <si>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</si>
  <si>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</si>
  <si>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</si>
  <si>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</si>
  <si>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</si>
  <si>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</si>
  <si>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</si>
  <si>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</si>
  <si>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</si>
  <si>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</si>
  <si>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</si>
  <si>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</si>
  <si>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</si>
  <si>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</si>
  <si>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</si>
  <si>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</si>
  <si>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</si>
  <si>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</si>
  <si>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</si>
  <si>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</si>
  <si>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</si>
  <si>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</si>
  <si>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</si>
  <si>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</si>
  <si>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</si>
  <si>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</si>
  <si>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</si>
  <si>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</si>
  <si>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</si>
  <si>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</si>
  <si>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</si>
  <si>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</si>
  <si>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</si>
  <si>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</si>
  <si>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</si>
  <si>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</si>
  <si>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</si>
  <si>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</si>
  <si>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</si>
  <si>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</si>
  <si>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</si>
  <si>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</si>
  <si>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</si>
  <si>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</si>
  <si>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</si>
  <si>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</si>
  <si>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</si>
  <si>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</si>
  <si>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</si>
  <si>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</si>
  <si>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</si>
  <si>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</si>
  <si>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</si>
  <si>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</si>
  <si>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</si>
  <si>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</si>
  <si>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</si>
  <si>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</si>
  <si>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</si>
  <si>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</si>
  <si>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</si>
  <si>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</si>
  <si>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</si>
  <si>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</si>
  <si>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</si>
  <si>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</si>
  <si>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</si>
  <si>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</si>
  <si>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</si>
  <si>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</si>
  <si>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</si>
  <si>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</si>
  <si>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</si>
  <si>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</si>
  <si>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</si>
  <si>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</si>
  <si>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</si>
  <si>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</si>
  <si>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</si>
  <si>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</si>
  <si>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</si>
  <si>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</si>
  <si>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</si>
  <si>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</si>
  <si>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</si>
  <si>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</si>
  <si>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</si>
  <si>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</si>
  <si>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</si>
  <si>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</si>
  <si>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</si>
  <si>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</si>
  <si>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</si>
  <si>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</si>
  <si>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</si>
  <si>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</si>
  <si>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</si>
  <si>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</si>
  <si>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</si>
  <si>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</si>
  <si>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</si>
  <si>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</si>
  <si>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</si>
  <si>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</si>
  <si>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</si>
  <si>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</si>
  <si>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</si>
  <si>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</si>
  <si>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</si>
  <si>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</si>
  <si>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</si>
  <si>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</si>
  <si>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</si>
  <si>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</si>
  <si>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</si>
  <si>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</si>
  <si>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</si>
  <si>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</si>
  <si>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</si>
  <si>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</si>
  <si>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</si>
  <si>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</si>
  <si>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</si>
  <si>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</si>
  <si>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</si>
  <si>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</si>
  <si>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</si>
  <si>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</si>
  <si>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</si>
  <si>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</si>
  <si>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</si>
  <si>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</si>
  <si>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</si>
  <si>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</si>
  <si>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</si>
  <si>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</si>
  <si>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</si>
  <si>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</si>
  <si>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</si>
  <si>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</si>
  <si>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</si>
  <si>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</si>
  <si>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</si>
  <si>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</si>
  <si>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</si>
  <si>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</si>
  <si>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</si>
  <si>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</si>
  <si>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</si>
  <si>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</si>
  <si>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</si>
  <si>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</si>
  <si>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</si>
  <si>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</si>
  <si>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</si>
  <si>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</si>
  <si>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</si>
  <si>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</si>
  <si>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</si>
  <si>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</si>
  <si>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</si>
  <si>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</si>
  <si>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</si>
  <si>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</si>
  <si>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</si>
  <si>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</si>
  <si>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</si>
  <si>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</si>
  <si>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</si>
  <si>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</si>
  <si>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</si>
  <si>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</si>
  <si>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</si>
  <si>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</si>
  <si>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</si>
  <si>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</si>
  <si>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</si>
  <si>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</si>
  <si>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</si>
  <si>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</si>
  <si>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</si>
  <si>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</si>
  <si>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</si>
  <si>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</si>
  <si>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</si>
  <si>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</si>
  <si>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</si>
  <si>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</si>
  <si>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</si>
  <si>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</si>
  <si>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</si>
  <si>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</si>
  <si>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</si>
  <si>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</si>
  <si>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</si>
  <si>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</si>
  <si>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</si>
  <si>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</si>
  <si>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</si>
  <si>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</si>
  <si>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</si>
  <si>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</si>
  <si>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</si>
  <si>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</si>
  <si>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</si>
  <si>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</si>
  <si>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</si>
  <si>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</si>
  <si>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</si>
  <si>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</si>
  <si>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</si>
  <si>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</si>
  <si>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</si>
  <si>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</si>
  <si>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</si>
  <si>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</si>
  <si>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</si>
  <si>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</si>
  <si>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</si>
  <si>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</si>
  <si>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</si>
  <si>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</si>
  <si>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</si>
  <si>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</si>
  <si>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</si>
  <si>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</si>
  <si>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</si>
  <si>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</si>
  <si>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</si>
  <si>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</si>
  <si>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</si>
  <si>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</si>
  <si>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</si>
  <si>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</si>
  <si>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</si>
  <si>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</si>
  <si>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</si>
  <si>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</si>
  <si>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</si>
  <si>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</si>
  <si>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</si>
  <si>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</si>
  <si>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</si>
  <si>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</si>
  <si>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</si>
  <si>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</si>
  <si>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</si>
  <si>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</si>
  <si>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</si>
  <si>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</si>
  <si>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</si>
  <si>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</si>
  <si>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</si>
  <si>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</si>
  <si>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</si>
  <si>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</si>
  <si>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</si>
  <si>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</si>
  <si>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</si>
  <si>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</si>
  <si>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</si>
  <si>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</si>
  <si>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</si>
  <si>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</si>
  <si>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</si>
  <si>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</si>
  <si>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</si>
  <si>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</si>
  <si>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</si>
  <si>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</si>
  <si>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</si>
  <si>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</si>
  <si>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</si>
  <si>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</si>
  <si>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</si>
  <si>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</si>
  <si>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t>Applicant</t>
  </si>
  <si>
    <t>Credit score</t>
  </si>
  <si>
    <t>Annual income ($)</t>
  </si>
  <si>
    <t>Loan amount ($)</t>
  </si>
  <si>
    <t>Decision</t>
  </si>
  <si>
    <t>Noah Patel</t>
  </si>
  <si>
    <t>Ava Rodriguez</t>
  </si>
  <si>
    <t>Ethan Williams</t>
  </si>
  <si>
    <t>Sofia Garcia</t>
  </si>
  <si>
    <t>Lucas Brown</t>
  </si>
  <si>
    <t>Emma Davis</t>
  </si>
  <si>
    <t>Olivia Martin</t>
  </si>
  <si>
    <t>Jack Thompson</t>
  </si>
  <si>
    <t>Flag overdue invoices with IF and NOT</t>
  </si>
  <si>
    <t>When tracking invoices, you often need to flag those that are overdue but not yet paid. Combining IF with NOT lets you test "if something is NOT the case."
The NOT function reverses a TRUE or FALSE result:
=NOT(logical_test)
If the logical test is TRUE, NOT returns FALSE. If it is FALSE, NOT returns TRUE. This makes it useful when you want to check that a condition does not apply.</t>
  </si>
  <si>
    <t>This sheet has six invoices with due dates and payment statuses. In this exercise, every invoice shown is already past its due date, so the only thing you need to check is whether the status is not "Paid".
Some overdue invoices use different status labels, so this is a good case for checking what the status is not, rather than looking for just one unpaid label.
Your goal is to fill the Flag column (column D) with:
"Overdue" when the status is not "Paid"
"" (empty string) for any other case
Follow these steps:
Click cell D4 (the first Flag cell, for INV-1001).
Start with an IF formula: =IF(logical_test, "Overdue", "")
For the logical test, use NOT to reverse the status check. NOT(C4="Paid") returns TRUE whenever the invoice status is anything other than "Paid".
Press Enter.
Copy the formula from D4 down to D9.</t>
  </si>
  <si>
    <t>Today's date</t>
  </si>
  <si>
    <t>Invoice #</t>
  </si>
  <si>
    <t>Due date</t>
  </si>
  <si>
    <t>Flag</t>
  </si>
  <si>
    <t>INV-1001</t>
  </si>
  <si>
    <t>Unpaid</t>
  </si>
  <si>
    <t>INV-1002</t>
  </si>
  <si>
    <t>Paid</t>
  </si>
  <si>
    <t>INV-1003</t>
  </si>
  <si>
    <t>Pending</t>
  </si>
  <si>
    <t>INV-1004</t>
  </si>
  <si>
    <t>Sent</t>
  </si>
  <si>
    <t>INV-1005</t>
  </si>
  <si>
    <t>Awaiting payment</t>
  </si>
  <si>
    <t>INV-1006</t>
  </si>
  <si>
    <t>Nested IF for grading</t>
  </si>
  <si>
    <t>In reporting and analysis, you’ll often need to convert a number into a category (like turning a test score into a letter grade). A nested IF lets you test multiple thresholds in order and return a different result for each case.
In this sheet, column B contains exam scores. The grading scale is listed in columns D and E.
Your task:
In cell C2, write a nested IF that returns the correct letter grade (A–F) for the score in B2.
Use the minimum scores in E2:E6 and the corresponding letters in D2:D6.
Fill the formula down through C9 to grade every student.</t>
  </si>
  <si>
    <t>Student</t>
  </si>
  <si>
    <t>Letter grade</t>
  </si>
  <si>
    <t>Grade</t>
  </si>
  <si>
    <t>Min score</t>
  </si>
  <si>
    <t>A</t>
  </si>
  <si>
    <t>B</t>
  </si>
  <si>
    <t>C</t>
  </si>
  <si>
    <t>D</t>
  </si>
  <si>
    <t>F</t>
  </si>
  <si>
    <t>Olivia Stone</t>
  </si>
  <si>
    <t>IF(B2&gt;=$E$2,$D$2,IF(B2&gt;=$E$3,$D$3,IF(B2&gt;=$E$4,$D$4,IF(B2&gt;=$E$5,$D$5,$D$6))))</t>
  </si>
  <si>
    <t>OR REFERENCE COLUMN CAN BE USED</t>
  </si>
  <si>
    <t>Nested IF for commission tiers</t>
  </si>
  <si>
    <t>Sales commissions are often calculated using a tiered rate: higher-performing reps earn a higher commission rate. A nested IF is a practical way to apply those tier rules in a single formula.
In this sheet, monthly sales are listed in column B, and the commission tier thresholds are in columns E and F.
Your task:
In cell C2, write a nested IF that calculates the commission amount for the sales in B2.
Use the tier table (E2:F4) for the thresholds and rates, and lock those references so you can fill down.
Fill the formula down through C9.</t>
  </si>
  <si>
    <t>Monthly sales</t>
  </si>
  <si>
    <t>Commission ($)</t>
  </si>
  <si>
    <t>Min sales</t>
  </si>
  <si>
    <t>Rate</t>
  </si>
  <si>
    <t>Tier 3</t>
  </si>
  <si>
    <t>Priya Nair</t>
  </si>
  <si>
    <t>Tier 2</t>
  </si>
  <si>
    <t>Mateo Silva</t>
  </si>
  <si>
    <t>Tier 1</t>
  </si>
  <si>
    <t>Amina Hassan</t>
  </si>
  <si>
    <t>Chris Park</t>
  </si>
  <si>
    <t>Sophie Nguyen</t>
  </si>
  <si>
    <t>Daniel Brooks</t>
  </si>
  <si>
    <t>Lina Kowalski</t>
  </si>
  <si>
    <t>Commission policy:</t>
  </si>
  <si>
    <t>0–9,999 = 3% | 10,000–24,999 = 5% | 25,000+ = 7%</t>
  </si>
  <si>
    <t>Assign shipping methods with IFS</t>
  </si>
  <si>
    <t>When you need to test multiple conditions and return different results, the IFS function is cleaner and easier to read than nested IF statements.
The IFS function checks conditions in order and returns the value for the first condition that is TRUE:
=IFS(condition1, value1, condition2, value2, ...)
For example: =IFS(A1&lt;10, "Small", A1&lt;50, "Medium", A1&gt;=50, "Large")
This returns "Small" if A1 is less than 10, "Medium" if less than 50, or "Large" otherwise.
Important: IFS evaluates conditions from left to right and stops at the first TRUE condition. Order matters. If you check smaller thresholds first, you will get correct results.</t>
  </si>
  <si>
    <t>A warehouse needs to assign shipping methods based on package weight. The shipping rules are shown in columns E and F:
Up to 1 lb: Letter
Up to 5 lbs: Standard
Up to 20 lbs: Ground
Up to 50 lbs: Freight
Over 50 lbs: Heavy freight</t>
  </si>
  <si>
    <t>Package ID</t>
  </si>
  <si>
    <t>Weight (lbs)</t>
  </si>
  <si>
    <t>Shipping method</t>
  </si>
  <si>
    <t>Weight limit</t>
  </si>
  <si>
    <t>Method</t>
  </si>
  <si>
    <t>PKG-001</t>
  </si>
  <si>
    <t>Letter</t>
  </si>
  <si>
    <t>PKG-002</t>
  </si>
  <si>
    <t>PKG-003</t>
  </si>
  <si>
    <t>Ground</t>
  </si>
  <si>
    <t>PKG-004</t>
  </si>
  <si>
    <t>Freight</t>
  </si>
  <si>
    <t>PKG-005</t>
  </si>
  <si>
    <t>Heavy freight</t>
  </si>
  <si>
    <t>PKG-006</t>
  </si>
  <si>
    <t>PKG-007</t>
  </si>
  <si>
    <t>PKG-008</t>
  </si>
  <si>
    <t>SWITCH for department budget codes</t>
  </si>
  <si>
    <t>When a quarterly budget report uses short department codes, SWITCH is a clean way to translate each code into a readable label. It is often easier to audit than a long chain of nested IF statements because each exact match is paired directly with the result you want to return.
The SWITCH function works like this:
=SWITCH(value, match1, result1, match2, result2, ..., default)
It checks one value, looks for an exact match in your list, and returns the corresponding result. This is useful when one code should always map to one label.</t>
  </si>
  <si>
    <t>In this budget review, column E already shows each employee's quarterly budget amount. Your job is to label each budget line correctly by translating the department codes in column B for each employee row. Use the lookup table in A12:C16 as your mapping guide.
In C2, use SWITCH to return the full department name for the code in B2, using the mappings shown in A12:B16.
In D2, use SWITCH again to return the budget category for the same code, using the mappings shown in A12:C16.
Fill both formulas down through row 9.
Use one SWITCH formula for the department name column and a separate SWITCH formula for the budget category column. The same department code should drive both outputs, but each column needs its own result list.</t>
  </si>
  <si>
    <t>Department name</t>
  </si>
  <si>
    <t>Budget category</t>
  </si>
  <si>
    <t>Quarterly budget</t>
  </si>
  <si>
    <t>Maya Chen</t>
  </si>
  <si>
    <t>MKT</t>
  </si>
  <si>
    <t>$18,000</t>
  </si>
  <si>
    <t>ENG</t>
  </si>
  <si>
    <t>$85,000</t>
  </si>
  <si>
    <t>Priya Patel</t>
  </si>
  <si>
    <t>FIN</t>
  </si>
  <si>
    <t>$42,000</t>
  </si>
  <si>
    <t>OPS</t>
  </si>
  <si>
    <t>$36,000</t>
  </si>
  <si>
    <t>Elena Garcia</t>
  </si>
  <si>
    <t>$24,000</t>
  </si>
  <si>
    <t>Noah Davis</t>
  </si>
  <si>
    <t>$79,000</t>
  </si>
  <si>
    <t>Ava Wilson</t>
  </si>
  <si>
    <t>$15,000</t>
  </si>
  <si>
    <t>Ethan Clark</t>
  </si>
  <si>
    <t>$12,000</t>
  </si>
  <si>
    <t>Code</t>
  </si>
  <si>
    <t>Growth</t>
  </si>
  <si>
    <t>Engineering</t>
  </si>
  <si>
    <t>Human Resources</t>
  </si>
  <si>
    <t>Basic IFERROR exercise</t>
  </si>
  <si>
    <t>In this exercise, we're looking at the IFERROR function. This function can be handy when you expect errors to exist, but you want to handle them gracefully.</t>
  </si>
  <si>
    <t>Guests</t>
  </si>
  <si>
    <t>Drinks</t>
  </si>
  <si>
    <t>Drinks per guest</t>
  </si>
  <si>
    <t>Creating an IFNOTERROR function</t>
  </si>
  <si>
    <t>Excel has an IFERROR function, but it does not have an IFNOTERROR function. In this exercise, you’ll build that logic yourself by combining IF with ISERROR.
IFERROR lets you return a different value when a formula has an error. Here, we want the reverse idea: return one label when a value is an error, and another label when it is not.
You can do that by combining IF with ISERROR.
=IF(Logical_test, Value_if_true, Value_if_false)
=ISERROR(value)
Quick reminder if this is your first time here: you can see the finished solution in the Answer tab at the top of the page.</t>
  </si>
  <si>
    <t>The sheet has two formulas in column B. One returns an error, and one returns a normal result.
Your goal is to fill the Custom formula column (column C) with:
"Error" when the formula in column B returns an error
"Not error" when the formula in column B does not return an error
Follow these steps:
Click cell C2.
Start an IF formula that checks whether B2 is an error.
Use ISERROR as the logical test.
Return "Error" when ISERROR returns TRUE.
Return "Not error" when ISERROR returns FALSE.
Press Enter.
Rewrite or copy the formula from C2 down to C3.</t>
  </si>
  <si>
    <t>Custom formula</t>
  </si>
  <si>
    <t>Error:</t>
  </si>
  <si>
    <t>Not error:</t>
  </si>
  <si>
    <t>The Excel ISNOTERROR function: making your own formula</t>
  </si>
  <si>
    <t>You may be wondering: does Excel have an ISNOTERROR function? The short answer is no. However, don't lose hope! We can make our own, and it's very easy.
So there is no ISNOTERROR Excel formula, but there is an ISERROR function. This function returns whether something is an error or not. If it's an error, the Iserror function will return TRUE. If it is not an error, the function will return FALSE.
Knowing this may be enough for you to create a function that basically does the opposite. An Isnoterror function.
If you're not sure how to do it yet, you can always look at the answer to the exercise by clicking on Show answer in the top right corner of the spreadsheet editor below.
The exercise is complete if you can get formulas in cells D2 and D3 that return whether the matching value in column B is not an error</t>
  </si>
  <si>
    <t>Is error?</t>
  </si>
  <si>
    <t>Is NOT error?</t>
  </si>
  <si>
    <t>Error</t>
  </si>
  <si>
    <t>Not error</t>
  </si>
  <si>
    <t>A/B test results analysis</t>
  </si>
  <si>
    <t>You're a data analyst evaluating the results of an A/B test on a new checkout flow. Traffic was split evenly between the original design (Control A) and a redesigned version (Treatment B) over a two-week experiment.</t>
  </si>
  <si>
    <t>Your goal: determine whether the redesign improved conversion performance, and whether the observed difference is statistically significant at the 95% confidence level using a two-sided z-test.</t>
  </si>
  <si>
    <t>Control (A)</t>
  </si>
  <si>
    <t>Treatment (B)</t>
  </si>
  <si>
    <t>Notes</t>
  </si>
  <si>
    <t>Visitors</t>
  </si>
  <si>
    <t>Conversions</t>
  </si>
  <si>
    <t>Conversion rate</t>
  </si>
  <si>
    <t>Standard error</t>
  </si>
  <si>
    <t>√(p × (1−p) / n)</t>
  </si>
  <si>
    <t>Results</t>
  </si>
  <si>
    <t>Percentage lift</t>
  </si>
  <si>
    <t>Relative to control rate</t>
  </si>
  <si>
    <t>Pooled standard error</t>
  </si>
  <si>
    <t>√(p_pool × (1−p_pool) × (1/n_A + 1/n_B))</t>
  </si>
  <si>
    <t>Z-score</t>
  </si>
  <si>
    <t>(p_B - p_A) / pooled SE</t>
  </si>
  <si>
    <t>Significant at 95%?</t>
  </si>
  <si>
    <t>Significant if ABS(Z) &gt; 1.96 (two-sided, 95%)</t>
  </si>
  <si>
    <t>Fill in the eight calculated fields in the spreadsheet. The Notes column shows mathematical notation for the statistical formulas. For the Z-score, use the pooled standard error from the Results section, where pooled SE is based on pooled conversion rate across both variants. Then return a final Significant? decision based on the 95% two-sided threshold.</t>
  </si>
  <si>
    <t>AGGREGATE for average ignoring errors</t>
  </si>
  <si>
    <t>When your data has errors scattered through a column, functions like AVERAGE fail on the whole range. AGGREGATE can skip those errors and give you the correct result.</t>
  </si>
  <si>
    <t>How AGGREGATE works</t>
  </si>
  <si>
    <t>AGGREGATE takes three arguments:</t>
  </si>
  <si>
    <t>For example, to sum while ignoring errors:</t>
  </si>
  <si>
    <t>Syntax = AGGREGATE(function_num, options, range)</t>
  </si>
  <si>
    <t>Example =AGGREGATE(9, 6, A1:A10)</t>
  </si>
  <si>
    <t>In this exercise, you have monthly sales data with a Revenue per unit column that uses formulas referencing the units sold column. Two months show #DIV/0! because no units were sold, and one month shows #VALUE! because the data entry is still incomplete. A normal AVERAGE cannot handle these errors.</t>
  </si>
  <si>
    <t>function_num: a number that tells AGGREGATE which calculation to run (1 for AVERAGE, 2 for COUNT, 9 for SUM, and more)</t>
  </si>
  <si>
    <t>options: a number that tells AGGREGATE what to ignore (6 means ignore error values)</t>
  </si>
  <si>
    <t>range: the cells to evaluate</t>
  </si>
  <si>
    <t>Units sold</t>
  </si>
  <si>
    <t>Revenue per unit</t>
  </si>
  <si>
    <t>pending</t>
  </si>
  <si>
    <t>September</t>
  </si>
  <si>
    <t>October</t>
  </si>
  <si>
    <t>November</t>
  </si>
  <si>
    <t>AVERAGE revenue</t>
  </si>
  <si>
    <t>AGGREGATE revenue</t>
  </si>
  <si>
    <t>Count of valid revenue entries</t>
  </si>
  <si>
    <t>Handle #N/A in calculations</t>
  </si>
  <si>
    <t>When you pull data from lookups or external sources, some cells may contain #N/A errors. A regular SUM on these cells will return #N/A, which breaks your reports.</t>
  </si>
  <si>
    <t>There are several ways to sum values while ignoring errors:</t>
  </si>
  <si>
    <t>The AGGREGATE function can perform various calculations (SUM, AVERAGE, COUNT, etc.) while optionally ignoring errors, hidden rows, or nested functions.</t>
  </si>
  <si>
    <t>The syntax is:
=AGGREGATE(function_num, options, range)
Where function_num specifies the calculation (9 = SUM) and options controls what to ignore (6 = ignore error values).
Your task:
You have quarterly sales data for several products. Some quarters have #N/A errors where data was unavailable.
In cell C8, calculate the total Q2 Sales (column C) using a method that ignores the #N/A errors and returns the correct sum.</t>
  </si>
  <si>
    <t>Q1 sales</t>
  </si>
  <si>
    <t>Q2 sales</t>
  </si>
  <si>
    <t>Q3 sales</t>
  </si>
  <si>
    <t>Q4 sales</t>
  </si>
  <si>
    <t>Total Q2 sales:</t>
  </si>
  <si>
    <t>1. AGGREGATE function - Has a built-in option to ignore error values</t>
  </si>
  <si>
    <t>2. SUMIF with error checking - Filter out errors before summing</t>
  </si>
  <si>
    <t>3. IFERROR wrapper - Replace each error with 0 before summing</t>
  </si>
  <si>
    <t>Aging buckets</t>
  </si>
  <si>
    <t>Accounts receivable aging is a key tool in finance and accounting. By categorizing outstanding invoices into "buckets" based on how many days old they are, you can quickly identify problem accounts and prioritize collection efforts.</t>
  </si>
  <si>
    <t>In this exercise, you'll work with a list of outstanding invoices. Column C contains the invoice date, and column E contains today's date. You need to:</t>
  </si>
  <si>
    <t>1. Calculate the age of each invoice (in days) in column F</t>
  </si>
  <si>
    <t>2. Categorize each invoice into an aging bucket in column G</t>
  </si>
  <si>
    <t>The standard aging buckets are:</t>
  </si>
  <si>
    <t>Invoice</t>
  </si>
  <si>
    <t>Customer</t>
  </si>
  <si>
    <t>Invoice date</t>
  </si>
  <si>
    <t>Amount</t>
  </si>
  <si>
    <t>Today</t>
  </si>
  <si>
    <t>Days old</t>
  </si>
  <si>
    <t>Aging bucket</t>
  </si>
  <si>
    <t>INV-001</t>
  </si>
  <si>
    <t>Acme Corp</t>
  </si>
  <si>
    <t>INV-002</t>
  </si>
  <si>
    <t>TechStart Inc</t>
  </si>
  <si>
    <t>INV-003</t>
  </si>
  <si>
    <t>Global Ltd</t>
  </si>
  <si>
    <t>INV-004</t>
  </si>
  <si>
    <t>Prime Services</t>
  </si>
  <si>
    <t>INV-005</t>
  </si>
  <si>
    <t>Metro Supply</t>
  </si>
  <si>
    <t>INV-006</t>
  </si>
  <si>
    <t>Valley Corp</t>
  </si>
  <si>
    <t>Date math in Excel
To find the number of days between two dates, simply subtract the earlier date from the later date. Excel stores dates as numbers, so =Today - InvoiceDate gives you the number of days.
Nested IF for bucketing
To assign a bucket, you'll use nested IF statements. Start by checking the smallest threshold and work your way up, or start with the largest and work down. For example:
=IF(condition_1, result_1, IF(condition_2, result_2, IF(...)))
Your task
In column F, calculate how many days old each invoice is
In column G, use a nested IF to assign the correct aging bucket
Fill your formulas down for all 6 invoices</t>
  </si>
  <si>
    <t>Current: 0-30 days</t>
  </si>
  <si>
    <t>Slightly overdue: 31-60 days</t>
  </si>
  <si>
    <t>Moderately overdue: 61-90 days</t>
  </si>
  <si>
    <t>Seriously overdue: 91+ days</t>
  </si>
  <si>
    <t>Build an accounts receivable aging schedule</t>
  </si>
  <si>
    <t>Accounts receivable aging helps accounting teams see which invoices are current and which ones are slipping overdue. It is a standard reporting view because it highlights collection priorities and gives a quick read on credit risk.
In this exercise, you will build a simple aging schedule from a list of 15 open invoices. The report date is fixed in B1 so everyone gets the same result.
Your main task is to classify each invoice in E4:E18 into the correct aging bucket. The summary table at the bottom is already set up and will update from your bucket labels.
The values in A21:A25 are the exact bucket names to use: Current, 1-30 days, 31-60 days, 61-90 days, and 90+ days.
Your task:
Fill the Aging bucket column in E4:E18.
Use the bucket names shown in the sheet to decide which label belongs to each invoice.
Keep the report date fixed when your bucket formula refers back to B1.</t>
  </si>
  <si>
    <t>Report date</t>
  </si>
  <si>
    <t>Alpha Retail</t>
  </si>
  <si>
    <t>Current</t>
  </si>
  <si>
    <t>Northwind Cafe</t>
  </si>
  <si>
    <t>Harbor Medical</t>
  </si>
  <si>
    <t>Cedar Foods</t>
  </si>
  <si>
    <t>Blue Peak Design</t>
  </si>
  <si>
    <t>Lumen Services</t>
  </si>
  <si>
    <t>INV-1007</t>
  </si>
  <si>
    <t>Atlas Hardware</t>
  </si>
  <si>
    <t>INV-1008</t>
  </si>
  <si>
    <t>Maple Logistics</t>
  </si>
  <si>
    <t>INV-1009</t>
  </si>
  <si>
    <t>Summit Dental</t>
  </si>
  <si>
    <t>INV-1010</t>
  </si>
  <si>
    <t>Oak Street Market</t>
  </si>
  <si>
    <t>INV-1011</t>
  </si>
  <si>
    <t>Granite Builders</t>
  </si>
  <si>
    <t>INV-1012</t>
  </si>
  <si>
    <t>BrightPath Staffing</t>
  </si>
  <si>
    <t>INV-1013</t>
  </si>
  <si>
    <t>Riverside Labs</t>
  </si>
  <si>
    <t>INV-1014</t>
  </si>
  <si>
    <t>TrueLine Manufacturing</t>
  </si>
  <si>
    <t>INV-1015</t>
  </si>
  <si>
    <t>West Bay Properties</t>
  </si>
  <si>
    <t>Bucket name</t>
  </si>
  <si>
    <t>1-30 days</t>
  </si>
  <si>
    <t>31-60 days</t>
  </si>
  <si>
    <t>61-90 days</t>
  </si>
  <si>
    <t>90+ days</t>
  </si>
  <si>
    <t>Average score by course with AVERAGEIF</t>
  </si>
  <si>
    <t>When you have results spread across multiple categories, AVERAGEIF lets you calculate an average for each category without sorting or filtering your data. It works just like SUMIF and COUNTIF, but instead of summing or counting, it averages.</t>
  </si>
  <si>
    <t>In this exercise, you have a table of student exam results in rows 2–10. Each row shows a student's name, their course, and their score. Below the table is a summary section where you'll calculate the average score for each course.</t>
  </si>
  <si>
    <t>How AVERAGEIF works:</t>
  </si>
  <si>
    <t>Syntax=AVERAGEIF(range, criteria, average_range)</t>
  </si>
  <si>
    <t>When you're done, each row in the summary table should show the correct average score for that course.</t>
  </si>
  <si>
    <t>Course</t>
  </si>
  <si>
    <t>Math</t>
  </si>
  <si>
    <t>English</t>
  </si>
  <si>
    <t>Carla</t>
  </si>
  <si>
    <t>Science</t>
  </si>
  <si>
    <t>Eva</t>
  </si>
  <si>
    <t>Felix</t>
  </si>
  <si>
    <t>Grace</t>
  </si>
  <si>
    <t>Hannah</t>
  </si>
  <si>
    <t>Ivan</t>
  </si>
  <si>
    <t>Average Score</t>
  </si>
  <si>
    <r>
      <t>AND returns TRUE only when </t>
    </r>
    <r>
      <rPr>
        <i/>
        <sz val="12"/>
        <color rgb="FF000000"/>
        <rFont val="Calibri Light"/>
        <family val="2"/>
        <scheme val="major"/>
      </rPr>
      <t>all</t>
    </r>
    <r>
      <rPr>
        <sz val="12"/>
        <color rgb="FF000000"/>
        <rFont val="Calibri Light"/>
        <family val="2"/>
        <scheme val="major"/>
      </rPr>
      <t> tests are TRUE. You’ll typically use it inside IF to create a single decision rule.</t>
    </r>
  </si>
  <si>
    <r>
      <t>1. In column </t>
    </r>
    <r>
      <rPr>
        <sz val="12"/>
        <color rgb="FF000000"/>
        <rFont val="Calibri Light"/>
        <family val="2"/>
        <scheme val="major"/>
      </rPr>
      <t>E (Decision), return "Approve" only when both of these are true:</t>
    </r>
  </si>
  <si>
    <r>
      <t>Credit score is </t>
    </r>
    <r>
      <rPr>
        <sz val="12"/>
        <color rgb="FF000000"/>
        <rFont val="Calibri Light"/>
        <family val="2"/>
        <scheme val="major"/>
      </rPr>
      <t>greater than 700</t>
    </r>
  </si>
  <si>
    <r>
      <t>Annual income is </t>
    </r>
    <r>
      <rPr>
        <sz val="12"/>
        <color rgb="FF000000"/>
        <rFont val="Calibri Light"/>
        <family val="2"/>
        <scheme val="major"/>
      </rPr>
      <t>greater than 50,000</t>
    </r>
  </si>
  <si>
    <r>
      <t>2. Otherwise, return </t>
    </r>
    <r>
      <rPr>
        <sz val="12"/>
        <color rgb="FF000000"/>
        <rFont val="Calibri Light"/>
        <family val="2"/>
        <scheme val="major"/>
      </rPr>
      <t>"Decline".</t>
    </r>
  </si>
  <si>
    <r>
      <t>3. Write the formula in </t>
    </r>
    <r>
      <rPr>
        <sz val="12"/>
        <color rgb="FF000000"/>
        <rFont val="Calibri Light"/>
        <family val="2"/>
        <scheme val="major"/>
      </rPr>
      <t>E2, then fill it down through E11.</t>
    </r>
  </si>
  <si>
    <r>
      <t>In the exercise, we are expecting an error, namely a </t>
    </r>
    <r>
      <rPr>
        <i/>
        <sz val="12"/>
        <color theme="1"/>
        <rFont val="Calibri Light"/>
        <family val="2"/>
        <scheme val="major"/>
      </rPr>
      <t>#DIV/0!</t>
    </r>
    <r>
      <rPr>
        <sz val="12"/>
        <color theme="1"/>
        <rFont val="Calibri Light"/>
        <family val="2"/>
        <scheme val="major"/>
      </rPr>
      <t> error that you get when you divide a number by 0. Since that's not allowed in mathematics, the error is reasonable, yet we still would like to return something other than an error. That's where IFERROR comes in.</t>
    </r>
  </si>
  <si>
    <r>
      <t>Return the number of </t>
    </r>
    <r>
      <rPr>
        <i/>
        <sz val="12"/>
        <color theme="1"/>
        <rFont val="Calibri Light"/>
        <family val="2"/>
        <scheme val="major"/>
      </rPr>
      <t>Drinks per guest</t>
    </r>
    <r>
      <rPr>
        <sz val="12"/>
        <color theme="1"/>
        <rFont val="Calibri Light"/>
        <family val="2"/>
        <scheme val="major"/>
      </rPr>
      <t> in cells C2:C4. For each row, divide the number of drinks by the number of guests, and wrap that division in IFERROR so the formula returns the division result when there is no error and 0 otherwise.</t>
    </r>
  </si>
  <si>
    <r>
      <t>Rows 2 and 3 should return the normal division result. Row 4 has 0 guests, so your IFERROR formula should return 0 instead of a </t>
    </r>
    <r>
      <rPr>
        <i/>
        <sz val="12"/>
        <color theme="1"/>
        <rFont val="Calibri Light"/>
        <family val="2"/>
        <scheme val="major"/>
      </rPr>
      <t>#DIV/0!</t>
    </r>
    <r>
      <rPr>
        <sz val="12"/>
        <color theme="1"/>
        <rFont val="Calibri Light"/>
        <family val="2"/>
        <scheme val="major"/>
      </rPr>
      <t> error.</t>
    </r>
  </si>
  <si>
    <t>range: the column to check for a match (the Course column)</t>
  </si>
  <si>
    <t>criteria: the value to match (the course name)</t>
  </si>
  <si>
    <t>average_range: the column to average when a match is found (the Score column)</t>
  </si>
  <si>
    <t>1. Click cell B13 (next to "Math").</t>
  </si>
  <si>
    <t>2. Type an AVERAGEIF formula that looks through the Course column (B2:B10) for entries matching the label in A13, and averages the corresponding scores from C2:C10.</t>
  </si>
  <si>
    <t>3. Press Enter.</t>
  </si>
  <si>
    <t>4. Copy the formula from B13 down to B14 and B15.</t>
  </si>
  <si>
    <t>SUMIF with a numeric threshold</t>
  </si>
  <si>
    <t>Beginner</t>
  </si>
  <si>
    <t>When you need to total only the values that meet a condition, SUMIF lets you do it in a single formula. Most people know SUMIF for matching text like a category name, but it works just as well with numeric comparisons like "greater than" or "at least."</t>
  </si>
  <si>
    <t>How SUMIF works:</t>
  </si>
  <si>
    <t>Using a comparison operator in criteria:</t>
  </si>
  <si>
    <t>"&gt;"&amp;B1</t>
  </si>
  <si>
    <t>This tells SUMIF to include any amount greater than whatever is in B1.</t>
  </si>
  <si>
    <t>Syntax =SUMIF(range, criteria, [sum_range])</t>
  </si>
  <si>
    <t>In this exercise, you have a list of eight purchase orders in rows 4–11. Cell B1 holds the minimum order threshold (500). Your job is to write a single SUMIF formula in cell B13 that adds up only the order amounts above that threshold.</t>
  </si>
  <si>
    <t>range: the column to check against your condition</t>
  </si>
  <si>
    <t>criteria: the condition to apply (a number, text, or comparison)</t>
  </si>
  <si>
    <t>sum_range: the column to add up when the condition is met (optional when it is the same column as range)</t>
  </si>
  <si>
    <t>To check whether a value exceeds a threshold, you combine a comparison operator (in quotes) with the threshold cell using &amp;:</t>
  </si>
  <si>
    <t>1. Click cell B13 (next to "Total of qualifying orders").</t>
  </si>
  <si>
    <t>2. Write a SUMIF formula that checks the Amount column (C4:C11) against the threshold in B1, and sums only the amounts that exceed it.</t>
  </si>
  <si>
    <t>Minimum order threshold</t>
  </si>
  <si>
    <t>PO-1001</t>
  </si>
  <si>
    <t>PO-1002</t>
  </si>
  <si>
    <t>Blue Ridge Inc</t>
  </si>
  <si>
    <t>PO-1003</t>
  </si>
  <si>
    <t>Crestwood Ltd</t>
  </si>
  <si>
    <t>PO-1004</t>
  </si>
  <si>
    <t>Delta Systems</t>
  </si>
  <si>
    <t>PO-1005</t>
  </si>
  <si>
    <t>Echo Partners</t>
  </si>
  <si>
    <t>PO-1006</t>
  </si>
  <si>
    <t>Fairview Co</t>
  </si>
  <si>
    <t>PO-1007</t>
  </si>
  <si>
    <t>Greenfield LLC</t>
  </si>
  <si>
    <t>PO-1008</t>
  </si>
  <si>
    <t>Harbor Group</t>
  </si>
  <si>
    <t>Total of qualifying orders</t>
  </si>
  <si>
    <t>Sum revenue by region with SUMIF</t>
  </si>
  <si>
    <t>When you have a long list of transactions, you often need to roll them up by category. SUMIF lets you add up numbers that match one condition, without sorting or filtering your data.</t>
  </si>
  <si>
    <t>In this exercise, you have a transaction log in rows 2–9 with three columns: Region, Product, and Revenue. Your job is to fill in column B of the summary section below (rows 11–14) with the total revenue for each region.</t>
  </si>
  <si>
    <t>When you're done, each row in the summary table should show the correct total revenue for that region.</t>
  </si>
  <si>
    <t>range: the column you want to check for a match</t>
  </si>
  <si>
    <t>criteria: the value you want to match (can be a cell reference or a text value)</t>
  </si>
  <si>
    <t>sum_range: the column you want to add up when a match is found</t>
  </si>
  <si>
    <t>1. Click cell B11 (next to "North").</t>
  </si>
  <si>
    <t>2. Type a SUMIF formula that looks through the Region column (A2:A9) for entries matching the label in A11, and adds up the corresponding Revenue values (C2:C9).</t>
  </si>
  <si>
    <t>4. Copy the formula from B11 down to B12, B13, and B14.</t>
  </si>
  <si>
    <t>Syntax=SUMIF(range, criteria, sum_range)</t>
  </si>
  <si>
    <t>Region</t>
  </si>
  <si>
    <t>Revenue ($)</t>
  </si>
  <si>
    <t>North</t>
  </si>
  <si>
    <t>Software</t>
  </si>
  <si>
    <t>South</t>
  </si>
  <si>
    <t>Hardware</t>
  </si>
  <si>
    <t>East</t>
  </si>
  <si>
    <t>Services</t>
  </si>
  <si>
    <t>West</t>
  </si>
  <si>
    <t>Total Revenue ($)</t>
  </si>
  <si>
    <t>AVERAGEIFS multiple criteria</t>
  </si>
  <si>
    <t>In operations reporting, averages are often more useful when they’re filtered (for example: just high priority work, or just a specific quarter). AVERAGEIFS lets you calculate an average that matches multiple conditions at the same time.
AVERAGEIFS calculates the average of a range, but only for rows that meet all criteria you specify.
The syntax looks like:
=AVERAGEIFS(average_range, criteria_range1, criteria1, criteria_range2, criteria2)</t>
  </si>
  <si>
    <t>Your task:</t>
  </si>
  <si>
    <t>2. Use the report inputs on the right:</t>
  </si>
  <si>
    <t>1. Review the tickets table in A1:E13. Response time is in the First response (min) column.</t>
  </si>
  <si>
    <t>Quarter is in G2</t>
  </si>
  <si>
    <t>Priority is in G3</t>
  </si>
  <si>
    <t>3. In cell G4, calculate the average first response time for tickets where:</t>
  </si>
  <si>
    <t>Quarter matches G2</t>
  </si>
  <si>
    <t>Priority matches G3</t>
  </si>
  <si>
    <t>Use AVERAGEIFS so the result updates if the report inputs change.</t>
  </si>
  <si>
    <t>Ticket ID</t>
  </si>
  <si>
    <t>Created date</t>
  </si>
  <si>
    <t>First response (min)</t>
  </si>
  <si>
    <t>Report</t>
  </si>
  <si>
    <t>High</t>
  </si>
  <si>
    <t>Medium</t>
  </si>
  <si>
    <t>Avg response (min)</t>
  </si>
  <si>
    <t>Low</t>
  </si>
  <si>
    <t>AVERAGEIFS with date range and category</t>
  </si>
  <si>
    <t>Sales reports often need an average for just one slice of the pipeline, such as one product category inside one quarter. AVERAGEIFS is built for that kind of filtered analysis.
AVERAGEIFS returns the average of a range, but only for rows that meet every condition you include.
The syntax looks like:
=AVERAGEIFS(average_range, criteria_range1, criteria1, criteria_range2, criteria2, ...)
When you filter by dates, you can compare a date column to parameter cells by joining an operator to the cell reference, such as "&gt;="&amp;X1 or "&lt;="&amp;Y1.</t>
  </si>
  <si>
    <t>Your formulas should average only deals that match the category in column A and have a close date within the quarter start and quarter end dates.</t>
  </si>
  <si>
    <t>Deal name</t>
  </si>
  <si>
    <t>Close date</t>
  </si>
  <si>
    <t>Product category</t>
  </si>
  <si>
    <t>Deal amount</t>
  </si>
  <si>
    <t>Atlas renewal</t>
  </si>
  <si>
    <t>Northwind scanner rollout</t>
  </si>
  <si>
    <t>Pinecrest onboarding package</t>
  </si>
  <si>
    <t>Summit CRM expansion</t>
  </si>
  <si>
    <t>BlueRock warehouse scanners</t>
  </si>
  <si>
    <t>Harbor support retainer</t>
  </si>
  <si>
    <t>Vertex analytics upgrade</t>
  </si>
  <si>
    <t>Lakeside POS terminals</t>
  </si>
  <si>
    <t>Orion implementation sprint</t>
  </si>
  <si>
    <t>Canyon ERP migration</t>
  </si>
  <si>
    <t>Metro network refresh</t>
  </si>
  <si>
    <t>Redwood training bundle</t>
  </si>
  <si>
    <t>Quarter start</t>
  </si>
  <si>
    <t>Quarter end</t>
  </si>
  <si>
    <t>1. Review the CRM export in A1:D13. The values to average are in the Deal amount column.</t>
  </si>
  <si>
    <t>2. Use the quarter boundary cells in B15:B16 as your date criteria.</t>
  </si>
  <si>
    <t>3. In cells B18:B20, calculate the average deal amount for each product category listed in A18:A20.</t>
  </si>
  <si>
    <t>Bank statement reconciliation</t>
  </si>
  <si>
    <t>Bank reconciliation is a critical month-end accounting task. You compare the bank statement against internal records to identify discrepancies and ensure accurate financial reporting.</t>
  </si>
  <si>
    <t>You have two data sets:</t>
  </si>
  <si>
    <t>Some transactions appear in one system but not the other. Your job is to identify these discrepancies and calculate the reconciliation totals.</t>
  </si>
  <si>
    <t>Your tasks:</t>
  </si>
  <si>
    <t>Use absolute references where appropriate so formulas can be copied down.</t>
  </si>
  <si>
    <t>Bank Statement (columns A-D): Transactions recorded by the bank</t>
  </si>
  <si>
    <t>Internal Records (columns F-I): Transactions recorded in your accounting system</t>
  </si>
  <si>
    <t>1. Status column (K3:K10): For each bank transaction, determine if the reference exists in the internal records. Write a formula that returns "Match" if the bank reference is found in the internal records, or "Missing" if not found.</t>
  </si>
  <si>
    <t>2. Bank balance (C13): Calculate the total of all bank statement amounts.</t>
  </si>
  <si>
    <t>3. Book balance (C14): Calculate the total of all internal record amounts.</t>
  </si>
  <si>
    <t>4. Difference (C15): Calculate the difference between bank and book balances (bank minus book).</t>
  </si>
  <si>
    <t>5. Missing items total (C16): Calculate the sum of bank amounts where the status is "Missing" - these are items recorded by the bank but not yet in your books.</t>
  </si>
  <si>
    <t>Bank Statement</t>
  </si>
  <si>
    <t>Internal Records</t>
  </si>
  <si>
    <t>Reconciliation</t>
  </si>
  <si>
    <t>Date</t>
  </si>
  <si>
    <t>Reference</t>
  </si>
  <si>
    <t>Description</t>
  </si>
  <si>
    <t>CHK-1001</t>
  </si>
  <si>
    <t>Office Supplies</t>
  </si>
  <si>
    <t>DEP-2001</t>
  </si>
  <si>
    <t>Client Payment</t>
  </si>
  <si>
    <t>CHK-1002</t>
  </si>
  <si>
    <t>ACH-3001</t>
  </si>
  <si>
    <t>DEP-2002</t>
  </si>
  <si>
    <t>Sales Revenue</t>
  </si>
  <si>
    <t>DEP-2003</t>
  </si>
  <si>
    <t>Consulting Fee</t>
  </si>
  <si>
    <t>CHK-1003</t>
  </si>
  <si>
    <t>Insurance</t>
  </si>
  <si>
    <t>WIR-4001</t>
  </si>
  <si>
    <t>Bank Fee</t>
  </si>
  <si>
    <t>CHK-1004</t>
  </si>
  <si>
    <t>Bank balance:</t>
  </si>
  <si>
    <t>Book balance:</t>
  </si>
  <si>
    <t>Difference:</t>
  </si>
  <si>
    <t>Items in bank not in books:</t>
  </si>
  <si>
    <t>Basic SUM</t>
  </si>
  <si>
    <t>When you build a simple report in Excel, one of the most common tasks is adding up a list of numbers to get a total. The SUM function is built for exactly that.</t>
  </si>
  <si>
    <t>What you need to do</t>
  </si>
  <si>
    <t>Total revenue</t>
  </si>
  <si>
    <t>In this sheet, you have monthly revenue figures in column B.</t>
  </si>
  <si>
    <t>1. Click cell B9.</t>
  </si>
  <si>
    <t>2. Type a SUM formula that adds the revenue values in cells B2 through B7.</t>
  </si>
  <si>
    <t>When you’re done, cell B9 should show the total revenue for January through June.</t>
  </si>
  <si>
    <t>Calculate Average Sales</t>
  </si>
  <si>
    <t>In sales analysis, knowing your average order value helps you understand customer spending patterns and set realistic targets.</t>
  </si>
  <si>
    <t>The AVERAGE function calculates the arithmetic mean of a set of numbers. It adds up all the values and divides by how many there are.</t>
  </si>
  <si>
    <t>This will calculate the average of all values in the range B1 through B5.</t>
  </si>
  <si>
    <t>You have a list of recent sales transactions with their order values in cells B2 through B7.</t>
  </si>
  <si>
    <t>Use the AVERAGE function in cell B9 to calculate the average order value across all six transactions.</t>
  </si>
  <si>
    <t>Order Value</t>
  </si>
  <si>
    <t>ORD-101</t>
  </si>
  <si>
    <t>ORD-102</t>
  </si>
  <si>
    <t>ORD-103</t>
  </si>
  <si>
    <t>ORD-104</t>
  </si>
  <si>
    <t>ORD-105</t>
  </si>
  <si>
    <t>ORD-106</t>
  </si>
  <si>
    <t>Average order value:</t>
  </si>
  <si>
    <t>Break-even units</t>
  </si>
  <si>
    <t>Break-even analysis is a cornerstone of financial planning. It tells you exactly how many units you need to sell before your business starts making a profit.</t>
  </si>
  <si>
    <t>At the break-even point, total revenue equals total costs. You're not making money, but you're not losing it either. Every unit sold beyond this point generates profit.</t>
  </si>
  <si>
    <t>Key concepts:</t>
  </si>
  <si>
    <t>The contribution margin represents how much each unit sold contributes toward covering fixed costs. Once you've covered all fixed costs, each additional unit's contribution margin becomes profit.</t>
  </si>
  <si>
    <t>You're analyzing the break-even point for Widget Pro. The spreadsheet shows:</t>
  </si>
  <si>
    <t>Selling price per unit (B5)</t>
  </si>
  <si>
    <t>Variable cost per unit (B6)</t>
  </si>
  <si>
    <t>Monthly fixed costs (B8)</t>
  </si>
  <si>
    <t>Complete the analysis by:</t>
  </si>
  <si>
    <t>Contribution Margin per Unit = Selling Price - Variable Cost per Unit</t>
  </si>
  <si>
    <t>Break-even Units = Fixed Costs ÷ Contribution Margin per Unit</t>
  </si>
  <si>
    <t>1. Calculate the contribution margin per unit in cell B10</t>
  </si>
  <si>
    <t>2. Calculate the break-even units in cell B11</t>
  </si>
  <si>
    <t>Product:</t>
  </si>
  <si>
    <t>Widget Pro</t>
  </si>
  <si>
    <t>Selling price per unit</t>
  </si>
  <si>
    <t>Variable cost per unit</t>
  </si>
  <si>
    <t>Fixed costs (monthly)</t>
  </si>
  <si>
    <t>Contribution margin per unit</t>
  </si>
  <si>
    <t>Build a basic cohort retention table</t>
  </si>
  <si>
    <t>Cohort analysis is common in SaaS and other recurring-behavior analysis because it shows whether people who started in the same period kept returning, subscribing, purchasing, or staying active over time. Instead of relying on one blended retention rate, you can compare signup groups month by month and spot whether newer cohorts are holding up better or worse.</t>
  </si>
  <si>
    <t>In this exercise, the source table lists subscription customers, the numbered month they signed up, and the last numbered month they were still active. Real reports often use calendar months or quarters, but numbered months keep the focus here on the cohort retention logic. Complete the cohort grid so each row shows the size of that signup cohort and the percentage of the original cohort that remained active in each later month.</t>
  </si>
  <si>
    <t>This is a good fit for COUNTIF and COUNTIFS. For example, a basic COUNTIF can count how many records belong to one category:</t>
  </si>
  <si>
    <t>Syntax = COUNTIF(A1:A10,1)</t>
  </si>
  <si>
    <t>Signup month</t>
  </si>
  <si>
    <t>Last active month</t>
  </si>
  <si>
    <t>C001</t>
  </si>
  <si>
    <t>C002</t>
  </si>
  <si>
    <t>C003</t>
  </si>
  <si>
    <t>C004</t>
  </si>
  <si>
    <t>C005</t>
  </si>
  <si>
    <t>C006</t>
  </si>
  <si>
    <t>C007</t>
  </si>
  <si>
    <t>C008</t>
  </si>
  <si>
    <t>C009</t>
  </si>
  <si>
    <t>C010</t>
  </si>
  <si>
    <t>C011</t>
  </si>
  <si>
    <t>C012</t>
  </si>
  <si>
    <t>Cohort month</t>
  </si>
  <si>
    <t>Cohort size</t>
  </si>
  <si>
    <t>Month +1</t>
  </si>
  <si>
    <t>Month +2</t>
  </si>
  <si>
    <t>Month +3</t>
  </si>
  <si>
    <t>Use the customer activity table in A1:C13 to complete the cohort retention grid in B16:E19. Fill in the cohort size for each signup month, then calculate only the follow-up month percentages that can be measured from the data shown. In the Month +1, Month +2, and Month +3 columns, enter the percentage of the original cohort that was still active at least that many months after signup. If a later month does not exist yet for that cohort, leave that cell blank.</t>
  </si>
  <si>
    <t>Build a date from separate parts with DATE</t>
  </si>
  <si>
    <t>Sometimes dates are stored with the year, month, and day in separate columns instead of as one real date. Excel needs a single date value to sort, filter, or calculate with those dates.</t>
  </si>
  <si>
    <t>The DATE function solves this. It takes three numbers and returns a proper Excel date:</t>
  </si>
  <si>
    <t>3. Press Enter. The cell should display a date.</t>
  </si>
  <si>
    <t>Syntax =DATE(year, month, day)</t>
  </si>
  <si>
    <t>Year</t>
  </si>
  <si>
    <t>Day</t>
  </si>
  <si>
    <t>Start Date</t>
  </si>
  <si>
    <t>Ana Lima</t>
  </si>
  <si>
    <t>Ben Park</t>
  </si>
  <si>
    <t>Cleo Nash</t>
  </si>
  <si>
    <t>Dan Osei</t>
  </si>
  <si>
    <t>Eva Chen</t>
  </si>
  <si>
    <t>Frank Cole</t>
  </si>
  <si>
    <t>For example, =DATE(2024, 6, 1) returns June 1, 2024.</t>
  </si>
  <si>
    <t>1. Click cell E2.</t>
  </si>
  <si>
    <t>2. Write a DATE formula that combines the year in column B, the month in column C, and the day in column D for that row.</t>
  </si>
  <si>
    <t>4. Copy the formula down from E2 through E7.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</si>
</sst>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0.0000000000E+00"/>
  </numFmts>
  <fonts count="10" x14ac:knownFonts="1">
    <font>
      <sz val="11"/>
      <color theme="1"/>
      <name val="Calibri"/>
      <family val="2"/>
      <scheme val="minor"/>
    </font>
    <font>
      <sz val="12"/>
      <color theme="1"/>
      <name val="Calibri Light"/>
      <family val="2"/>
      <scheme val="major"/>
    </font>
    <font>
      <sz val="12"/>
      <color rgb="FF1E1E1E"/>
      <name val="Calibri Light"/>
      <family val="2"/>
      <scheme val="major"/>
    </font>
    <font>
      <sz val="12"/>
      <color rgb="FF555555"/>
      <name val="Calibri Light"/>
      <family val="2"/>
      <scheme val="major"/>
    </font>
    <font>
      <i/>
      <sz val="12"/>
      <color rgb="FF000000"/>
      <name val="Calibri Light"/>
      <family val="2"/>
      <scheme val="major"/>
    </font>
    <font>
      <sz val="12"/>
      <color rgb="FF000000"/>
      <name val="Calibri Light"/>
      <family val="2"/>
      <scheme val="major"/>
    </font>
    <font>
      <i/>
      <sz val="12"/>
      <color rgb="FF444444"/>
      <name val="Calibri Light"/>
      <family val="2"/>
      <scheme val="major"/>
    </font>
    <font>
      <i/>
      <sz val="12"/>
      <color theme="1"/>
      <name val="Calibri Light"/>
      <family val="2"/>
      <scheme val="major"/>
    </font>
    <font>
      <sz val="12"/>
      <color rgb="FF6B7280"/>
      <name val="Calibri Light"/>
      <family val="2"/>
      <scheme val="major"/>
    </font>
    <font>
      <sz val="11"/>
      <color theme="1"/>
      <name val="Calibri"/>
      <family val="2"/>
      <scheme val="minor"/>
    </font>
  </fonts>
  <fills count="33">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EF9C3"/>
        <bgColor indexed="64"/>
      </patternFill>
    </fill>
    <fill>
      <patternFill patternType="solid">
        <fgColor rgb="FFEEF6FF"/>
        <bgColor indexed="64"/>
      </patternFill>
    </fill>
    <fill>
      <patternFill patternType="solid">
        <fgColor rgb="FFFFC000"/>
        <bgColor indexed="64"/>
      </patternFill>
    </fill>
    <fill>
      <patternFill patternType="solid">
        <fgColor rgb="FFF0F4F8"/>
        <bgColor indexed="64"/>
      </patternFill>
    </fill>
    <fill>
      <patternFill patternType="solid">
        <fgColor rgb="FFF7F2E6"/>
        <bgColor indexed="64"/>
      </patternFill>
    </fill>
    <fill>
      <patternFill patternType="solid">
        <fgColor rgb="FFFCF8EF"/>
        <bgColor indexed="64"/>
      </patternFill>
    </fill>
    <fill>
      <patternFill patternType="solid">
        <fgColor rgb="FFFEF3C7"/>
        <bgColor indexed="64"/>
      </patternFill>
    </fill>
    <fill>
      <patternFill patternType="solid">
        <fgColor rgb="FFF9FAFB"/>
        <bgColor indexed="64"/>
      </patternFill>
    </fill>
    <fill>
      <patternFill patternType="solid">
        <fgColor rgb="FFDBEAFE"/>
        <bgColor indexed="64"/>
      </patternFill>
    </fill>
    <fill>
      <patternFill patternType="solid">
        <fgColor rgb="FFDCFCE7"/>
        <bgColor indexed="64"/>
      </patternFill>
    </fill>
    <fill>
      <patternFill patternType="solid">
        <fgColor rgb="FFF8F8F8"/>
        <bgColor indexed="64"/>
      </patternFill>
    </fill>
  </fills>
  <borders count="1">
    <border>
      <left/>
      <right/>
      <top/>
      <bottom/>
      <diagonal/>
    </border>
  </borders>
  <cellStyleXfs count="2">
    <xf numFmtId="0" fontId="0" fillId="0" borderId="0"/>
    <xf numFmtId="9" fontId="9" fillId="0" borderId="0" applyFont="0" applyFill="0" applyBorder="0" applyAlignment="0" applyProtection="0"/>
  </cellStyleXfs>
  <cellXfs count="80">
    <xf numFmtId="0" fontId="0" fillId="0" borderId="0" xfId="0"/>
    <xf numFmtId="0" fontId="1" fillId="11" borderId="0" xfId="0" applyFont="1" applyFill="1" applyAlignment="1">
      <alignment vertical="top"/>
    </xf>
    <xf numFmtId="0" fontId="1" fillId="0" borderId="0" xfId="0" applyFont="1" applyAlignment="1">
      <alignment vertical="top"/>
    </xf>
    <xf numFmtId="0" fontId="1" fillId="0" borderId="0" xfId="0" applyFont="1" applyAlignment="1">
      <alignment horizontal="left" vertical="top"/>
    </xf>
    <xf numFmtId="0" fontId="1" fillId="11" borderId="0" xfId="0" applyFont="1" applyFill="1" applyAlignment="1">
      <alignment vertical="top" wrapText="1"/>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Fill="1" applyAlignment="1">
      <alignment vertical="top"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2" fillId="11" borderId="0" xfId="0"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0" fontId="1" fillId="11" borderId="0" xfId="0" applyFont="1" applyFill="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9" borderId="0" xfId="0"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2" fillId="0" borderId="0" xfId="0" applyFont="1" applyAlignment="1">
      <alignment vertical="center" wrapText="1"/>
    </xf>
    <xf numFmtId="0" fontId="1" fillId="6" borderId="0" xfId="0" applyFont="1" applyFill="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top" wrapText="1"/>
    </xf>
    <xf numFmtId="0" fontId="1" fillId="18" borderId="0" xfId="0" applyFont="1" applyFill="1" applyAlignment="1">
      <alignment horizontal="left" vertical="top" wrapText="1"/>
    </xf>
    <xf numFmtId="0" fontId="1" fillId="15" borderId="0" xfId="0" applyFont="1" applyFill="1" applyAlignment="1">
      <alignment horizontal="left" vertical="top" wrapText="1"/>
    </xf>
    <xf numFmtId="0" fontId="1" fillId="21" borderId="0" xfId="0" applyFont="1" applyFill="1" applyAlignment="1">
      <alignment horizontal="left" vertical="top" wrapText="1"/>
    </xf>
    <xf numFmtId="0" fontId="1" fillId="20" borderId="0" xfId="0" applyFont="1" applyFill="1" applyAlignment="1">
      <alignment horizontal="left" vertical="top" wrapText="1"/>
    </xf>
    <xf numFmtId="0" fontId="1" fillId="19" borderId="0" xfId="0" applyFont="1" applyFill="1" applyAlignment="1">
      <alignment vertical="center" wrapText="1"/>
    </xf>
    <xf numFmtId="14" fontId="1" fillId="8" borderId="0" xfId="0" applyNumberFormat="1" applyFont="1" applyFill="1" applyAlignment="1">
      <alignment vertical="center" wrapText="1"/>
    </xf>
    <xf numFmtId="0" fontId="1" fillId="22" borderId="0" xfId="0" applyFont="1" applyFill="1" applyAlignment="1">
      <alignment vertical="center" wrapText="1"/>
    </xf>
    <xf numFmtId="0" fontId="1" fillId="23" borderId="0" xfId="0" applyFont="1" applyFill="1" applyAlignment="1">
      <alignment vertical="center" wrapText="1"/>
    </xf>
    <xf numFmtId="0" fontId="1" fillId="24" borderId="0" xfId="0" applyFont="1" applyFill="1" applyAlignment="1">
      <alignment horizontal="left" vertical="top" wrapText="1"/>
    </xf>
    <xf numFmtId="0" fontId="6" fillId="0" borderId="0" xfId="0" applyFont="1" applyAlignment="1">
      <alignment vertical="center" wrapText="1"/>
    </xf>
    <xf numFmtId="0" fontId="1" fillId="8" borderId="0" xfId="0" applyFont="1" applyFill="1" applyAlignment="1">
      <alignment vertical="center" wrapText="1"/>
    </xf>
    <xf numFmtId="0" fontId="1" fillId="25" borderId="0" xfId="0" applyFont="1" applyFill="1" applyAlignment="1">
      <alignment vertical="center" wrapText="1"/>
    </xf>
    <xf numFmtId="165" fontId="1" fillId="2" borderId="0" xfId="0" applyNumberFormat="1" applyFont="1" applyFill="1" applyAlignment="1">
      <alignment vertical="center" wrapText="1"/>
    </xf>
    <xf numFmtId="0" fontId="8" fillId="0" borderId="0" xfId="0" applyFont="1" applyAlignment="1">
      <alignment vertical="center" wrapText="1"/>
    </xf>
    <xf numFmtId="0" fontId="1" fillId="26" borderId="0" xfId="0" applyFont="1" applyFill="1" applyAlignment="1">
      <alignment vertical="center" wrapText="1"/>
    </xf>
    <xf numFmtId="0" fontId="1" fillId="27" borderId="0" xfId="0" applyFont="1" applyFill="1" applyAlignment="1">
      <alignment vertical="center" wrapText="1"/>
    </xf>
    <xf numFmtId="1" fontId="1" fillId="10" borderId="0" xfId="0" applyNumberFormat="1" applyFont="1" applyFill="1" applyAlignment="1">
      <alignment vertical="center" wrapText="1"/>
    </xf>
    <xf numFmtId="14" fontId="1" fillId="11" borderId="0" xfId="0" applyNumberFormat="1" applyFont="1" applyFill="1" applyAlignment="1">
      <alignment vertical="center" wrapText="1"/>
    </xf>
    <xf numFmtId="0" fontId="1" fillId="28" borderId="0" xfId="0" applyFont="1" applyFill="1" applyAlignment="1">
      <alignment vertical="center" wrapText="1"/>
    </xf>
    <xf numFmtId="0" fontId="1" fillId="29" borderId="0" xfId="0" applyFont="1" applyFill="1" applyAlignment="1">
      <alignment vertical="center" wrapText="1"/>
    </xf>
    <xf numFmtId="0" fontId="5" fillId="0" borderId="0" xfId="0" applyFont="1" applyAlignment="1">
      <alignment vertical="center" wrapText="1"/>
    </xf>
    <xf numFmtId="0" fontId="5" fillId="0" borderId="0" xfId="0" applyFont="1" applyAlignment="1">
      <alignment horizontal="left" vertical="center" wrapText="1" indent="1"/>
    </xf>
    <xf numFmtId="0" fontId="1" fillId="0" borderId="0" xfId="0" applyFont="1" applyAlignment="1">
      <alignment vertical="center"/>
    </xf>
    <xf numFmtId="0" fontId="1" fillId="0" borderId="0" xfId="0" applyFont="1" applyAlignment="1">
      <alignment horizontal="center" vertical="center" wrapText="1"/>
    </xf>
    <xf numFmtId="0" fontId="1" fillId="0" borderId="0" xfId="0" applyFont="1" applyAlignment="1">
      <alignment horizontal="center" vertical="top"/>
    </xf>
    <xf numFmtId="0" fontId="1" fillId="0" borderId="0" xfId="0" applyFont="1" applyAlignment="1">
      <alignment vertical="center" wrapText="1"/>
    </xf>
    <xf numFmtId="0" fontId="1" fillId="30" borderId="0" xfId="0" applyFont="1" applyFill="1" applyAlignment="1">
      <alignment vertical="center" wrapText="1"/>
    </xf>
    <xf numFmtId="0" fontId="1" fillId="31" borderId="0" xfId="0" applyFont="1" applyFill="1" applyAlignment="1">
      <alignment vertical="center" wrapText="1"/>
    </xf>
    <xf numFmtId="0" fontId="1" fillId="11" borderId="0" xfId="0" applyFont="1" applyFill="1" applyAlignment="1">
      <alignment horizontal="left" vertical="center" wrapText="1" indent="1"/>
    </xf>
    <xf numFmtId="0" fontId="1" fillId="0" borderId="0" xfId="0" applyFont="1" applyAlignment="1">
      <alignment horizontal="center" vertical="center" wrapText="1"/>
    </xf>
    <xf numFmtId="0" fontId="1" fillId="0" borderId="0" xfId="0" applyFont="1" applyAlignment="1">
      <alignment horizontal="center" vertical="top" wrapText="1"/>
    </xf>
    <xf numFmtId="0" fontId="6" fillId="0" borderId="0" xfId="0" applyFont="1" applyAlignment="1">
      <alignment horizontal="center" vertical="center" wrapText="1"/>
    </xf>
    <xf numFmtId="0" fontId="1" fillId="0" borderId="0" xfId="0" applyFont="1" applyAlignment="1">
      <alignment vertical="center" wrapText="1"/>
    </xf>
    <xf numFmtId="0" fontId="1" fillId="0" borderId="0" xfId="0" applyFont="1" applyAlignment="1">
      <alignment horizontal="center" vertical="top"/>
    </xf>
    <xf numFmtId="0" fontId="1" fillId="0" borderId="0" xfId="0" applyFont="1" applyAlignment="1">
      <alignment horizontal="center" vertical="center"/>
    </xf>
    <xf numFmtId="0" fontId="5" fillId="0" borderId="0" xfId="0" applyFont="1" applyAlignment="1">
      <alignment horizontal="center" vertical="center" wrapText="1"/>
    </xf>
    <xf numFmtId="9" fontId="1" fillId="10" borderId="0" xfId="1" applyFont="1" applyFill="1" applyAlignment="1">
      <alignment vertical="center" wrapText="1"/>
    </xf>
    <xf numFmtId="0" fontId="1" fillId="32" borderId="0" xfId="0" applyFont="1" applyFill="1" applyAlignment="1">
      <alignment vertical="center"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microsoft.com/office/2017/10/relationships/person" Target="persons/person.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223"/>
  <sheetViews>
    <sheetView tabSelected="1" topLeftCell="A1217" zoomScale="85" zoomScaleNormal="85" workbookViewId="0">
      <selection activeCell="A1237" sqref="A1237"/>
    </sheetView>
  </sheetViews>
  <sheetFormatPr defaultRowHeight="15.6" x14ac:dyDescent="0.3"/>
  <cols>
    <col min="1" max="1" width="149.88671875" style="3" bestFit="1" customWidth="1"/>
    <col min="2" max="2" width="44.44140625" style="3" customWidth="1"/>
    <col min="3" max="3" width="43.33203125" style="3" customWidth="1"/>
    <col min="4" max="4" width="27.33203125" style="3" customWidth="1"/>
    <col min="5" max="5" width="26" style="3" customWidth="1"/>
    <col min="6" max="6" width="24.44140625" style="3" customWidth="1"/>
    <col min="7" max="17" width="21.88671875" style="3" customWidth="1"/>
    <col min="18" max="16384" width="8.88671875" style="3"/>
  </cols>
  <sheetData>
    <row r="1" spans="1:23" x14ac:dyDescent="0.3">
      <c r="A1" s="1" t="s">
        <v>0</v>
      </c>
      <c r="B1" s="2"/>
      <c r="C1" s="2"/>
      <c r="D1" s="2"/>
      <c r="E1" s="2"/>
      <c r="F1" s="2"/>
      <c r="G1" s="2"/>
      <c r="H1" s="2"/>
      <c r="I1" s="2"/>
      <c r="J1" s="2"/>
    </row>
    <row r="3" spans="1:23" x14ac:dyDescent="0.3">
      <c r="B3" s="3">
        <f>32+57</f>
        <v>89</v>
      </c>
    </row>
    <row r="6" spans="1:23" x14ac:dyDescent="0.3">
      <c r="A6" s="4" t="s">
        <v>213</v>
      </c>
    </row>
    <row r="8" spans="1:23" x14ac:dyDescent="0.3">
      <c r="A8" s="5" t="s">
        <v>1</v>
      </c>
      <c r="B8" s="5"/>
    </row>
    <row r="9" spans="1:23" x14ac:dyDescent="0.3">
      <c r="A9" s="5" t="s">
        <v>2</v>
      </c>
      <c r="B9" s="5">
        <v>4000</v>
      </c>
    </row>
    <row r="10" spans="1:23" x14ac:dyDescent="0.3">
      <c r="A10" s="5" t="s">
        <v>3</v>
      </c>
      <c r="B10" s="5">
        <v>-1300</v>
      </c>
    </row>
    <row r="11" spans="1:23" x14ac:dyDescent="0.3">
      <c r="A11" s="5" t="s">
        <v>4</v>
      </c>
      <c r="B11" s="5">
        <v>-400</v>
      </c>
    </row>
    <row r="12" spans="1:23" x14ac:dyDescent="0.3">
      <c r="A12" s="5" t="s">
        <v>5</v>
      </c>
      <c r="B12" s="5">
        <v>-250</v>
      </c>
    </row>
    <row r="13" spans="1:23" x14ac:dyDescent="0.3">
      <c r="A13" s="5"/>
      <c r="B13" s="5"/>
    </row>
    <row r="14" spans="1:23" x14ac:dyDescent="0.3">
      <c r="A14" s="5" t="s">
        <v>6</v>
      </c>
      <c r="B14" s="6">
        <f xml:space="preserve"> SUM(B9:B12)</f>
        <v>2050</v>
      </c>
    </row>
    <row r="16" spans="1:23" x14ac:dyDescent="0.3">
      <c r="A16" s="4" t="s">
        <v>28</v>
      </c>
      <c r="B16" s="7"/>
      <c r="C16" s="7"/>
      <c r="D16" s="7"/>
      <c r="E16" s="7"/>
      <c r="F16" s="7"/>
      <c r="G16" s="7"/>
      <c r="H16" s="7"/>
      <c r="I16" s="7"/>
      <c r="J16" s="7"/>
      <c r="K16" s="7"/>
      <c r="L16" s="7"/>
      <c r="M16" s="7"/>
      <c r="N16" s="7"/>
      <c r="O16" s="7"/>
      <c r="P16" s="7"/>
      <c r="Q16" s="7"/>
      <c r="R16" s="7"/>
      <c r="S16" s="7"/>
      <c r="T16" s="7"/>
      <c r="U16" s="7"/>
      <c r="V16" s="7"/>
      <c r="W16" s="7"/>
    </row>
    <row r="18" spans="1:23" x14ac:dyDescent="0.3">
      <c r="A18" s="67">
        <v>7</v>
      </c>
    </row>
    <row r="19" spans="1:23" x14ac:dyDescent="0.3">
      <c r="A19" s="67">
        <v>18</v>
      </c>
    </row>
    <row r="20" spans="1:23" x14ac:dyDescent="0.3">
      <c r="A20" s="67">
        <v>35</v>
      </c>
    </row>
    <row r="21" spans="1:23" x14ac:dyDescent="0.3">
      <c r="A21" s="67">
        <v>1</v>
      </c>
    </row>
    <row r="22" spans="1:23" x14ac:dyDescent="0.3">
      <c r="A22" s="67">
        <v>9</v>
      </c>
    </row>
    <row r="23" spans="1:23" x14ac:dyDescent="0.3">
      <c r="A23" s="67"/>
    </row>
    <row r="24" spans="1:23" x14ac:dyDescent="0.3">
      <c r="A24" s="8">
        <f>AVERAGE(A18:A22)</f>
        <v>14</v>
      </c>
    </row>
    <row r="26" spans="1:23" s="9" customFormat="1" x14ac:dyDescent="0.3">
      <c r="A26" s="4" t="s">
        <v>212</v>
      </c>
      <c r="B26" s="7"/>
      <c r="C26" s="7"/>
      <c r="D26" s="7"/>
      <c r="E26" s="7"/>
      <c r="F26" s="7"/>
      <c r="G26" s="7"/>
      <c r="H26" s="7"/>
      <c r="I26" s="7"/>
      <c r="J26" s="7"/>
      <c r="K26" s="7"/>
      <c r="L26" s="7"/>
      <c r="M26" s="7"/>
      <c r="N26" s="7"/>
      <c r="O26" s="7"/>
      <c r="P26" s="7"/>
      <c r="Q26" s="7"/>
      <c r="R26" s="7"/>
      <c r="S26" s="7"/>
      <c r="T26" s="7"/>
      <c r="U26" s="7"/>
      <c r="V26" s="7"/>
      <c r="W26" s="7"/>
    </row>
    <row r="27" spans="1:23" x14ac:dyDescent="0.3">
      <c r="A27" s="10" t="s">
        <v>7</v>
      </c>
      <c r="B27" s="10" t="s">
        <v>8</v>
      </c>
      <c r="C27" s="10" t="s">
        <v>9</v>
      </c>
      <c r="D27" s="10" t="s">
        <v>10</v>
      </c>
    </row>
    <row r="28" spans="1:23" x14ac:dyDescent="0.3">
      <c r="A28" s="67" t="s">
        <v>11</v>
      </c>
      <c r="B28" s="11">
        <v>3</v>
      </c>
      <c r="C28" s="11">
        <v>25</v>
      </c>
      <c r="D28" s="12">
        <f>B28*C28</f>
        <v>75</v>
      </c>
    </row>
    <row r="29" spans="1:23" x14ac:dyDescent="0.3">
      <c r="A29" s="67" t="s">
        <v>12</v>
      </c>
      <c r="B29" s="11">
        <v>5</v>
      </c>
      <c r="C29" s="11">
        <v>18</v>
      </c>
      <c r="D29" s="12">
        <f t="shared" ref="D29:D33" si="0">B29*C29</f>
        <v>90</v>
      </c>
    </row>
    <row r="30" spans="1:23" x14ac:dyDescent="0.3">
      <c r="A30" s="67" t="s">
        <v>13</v>
      </c>
      <c r="B30" s="11">
        <v>10</v>
      </c>
      <c r="C30" s="11">
        <v>9</v>
      </c>
      <c r="D30" s="12">
        <f t="shared" si="0"/>
        <v>90</v>
      </c>
    </row>
    <row r="31" spans="1:23" x14ac:dyDescent="0.3">
      <c r="A31" s="67" t="s">
        <v>14</v>
      </c>
      <c r="B31" s="11">
        <v>2</v>
      </c>
      <c r="C31" s="11">
        <v>42</v>
      </c>
      <c r="D31" s="12">
        <f t="shared" si="0"/>
        <v>84</v>
      </c>
    </row>
    <row r="32" spans="1:23" x14ac:dyDescent="0.3">
      <c r="A32" s="67" t="s">
        <v>15</v>
      </c>
      <c r="B32" s="11">
        <v>12</v>
      </c>
      <c r="C32" s="11">
        <v>6</v>
      </c>
      <c r="D32" s="12">
        <f t="shared" si="0"/>
        <v>72</v>
      </c>
    </row>
    <row r="33" spans="1:4" x14ac:dyDescent="0.3">
      <c r="A33" s="67" t="s">
        <v>16</v>
      </c>
      <c r="B33" s="11">
        <v>4</v>
      </c>
      <c r="C33" s="11">
        <v>15</v>
      </c>
      <c r="D33" s="12">
        <f t="shared" si="0"/>
        <v>60</v>
      </c>
    </row>
    <row r="34" spans="1:4" x14ac:dyDescent="0.3">
      <c r="A34" s="67"/>
      <c r="B34" s="11"/>
      <c r="C34" s="11"/>
      <c r="D34" s="12"/>
    </row>
    <row r="35" spans="1:4" x14ac:dyDescent="0.3">
      <c r="A35" s="4" t="s">
        <v>215</v>
      </c>
    </row>
    <row r="36" spans="1:4" ht="202.8" x14ac:dyDescent="0.3">
      <c r="A36" s="5" t="s">
        <v>214</v>
      </c>
    </row>
    <row r="38" spans="1:4" x14ac:dyDescent="0.3">
      <c r="A38" s="13" t="s">
        <v>17</v>
      </c>
      <c r="B38" s="13" t="s">
        <v>18</v>
      </c>
      <c r="C38" s="13" t="s">
        <v>19</v>
      </c>
    </row>
    <row r="39" spans="1:4" x14ac:dyDescent="0.3">
      <c r="A39" s="67" t="s">
        <v>20</v>
      </c>
      <c r="B39" s="14">
        <v>1250</v>
      </c>
      <c r="C39" s="15">
        <f>VALUE(B39)</f>
        <v>1250</v>
      </c>
    </row>
    <row r="40" spans="1:4" x14ac:dyDescent="0.3">
      <c r="A40" s="67" t="s">
        <v>21</v>
      </c>
      <c r="B40" s="14">
        <v>879.5</v>
      </c>
      <c r="C40" s="15">
        <f t="shared" ref="C40:C44" si="1">VALUE(B40)</f>
        <v>879.5</v>
      </c>
    </row>
    <row r="41" spans="1:4" x14ac:dyDescent="0.3">
      <c r="A41" s="67" t="s">
        <v>22</v>
      </c>
      <c r="B41" s="14">
        <v>3200</v>
      </c>
      <c r="C41" s="15">
        <f t="shared" si="1"/>
        <v>3200</v>
      </c>
    </row>
    <row r="42" spans="1:4" x14ac:dyDescent="0.3">
      <c r="A42" s="67" t="s">
        <v>23</v>
      </c>
      <c r="B42" s="14">
        <v>415.75</v>
      </c>
      <c r="C42" s="15">
        <f t="shared" si="1"/>
        <v>415.75</v>
      </c>
    </row>
    <row r="43" spans="1:4" x14ac:dyDescent="0.3">
      <c r="A43" s="67" t="s">
        <v>24</v>
      </c>
      <c r="B43" s="14">
        <v>999</v>
      </c>
      <c r="C43" s="15">
        <f t="shared" si="1"/>
        <v>999</v>
      </c>
    </row>
    <row r="44" spans="1:4" x14ac:dyDescent="0.3">
      <c r="A44" s="67" t="s">
        <v>25</v>
      </c>
      <c r="B44" s="14">
        <v>150.25</v>
      </c>
      <c r="C44" s="15">
        <f t="shared" si="1"/>
        <v>150.25</v>
      </c>
    </row>
    <row r="45" spans="1:4" x14ac:dyDescent="0.3">
      <c r="A45" s="67" t="s">
        <v>26</v>
      </c>
      <c r="B45" s="67">
        <v>0</v>
      </c>
      <c r="C45" s="16">
        <f>SUM(C39:C44)</f>
        <v>6894.5</v>
      </c>
    </row>
    <row r="47" spans="1:4" x14ac:dyDescent="0.3">
      <c r="A47" s="17" t="s">
        <v>27</v>
      </c>
    </row>
    <row r="48" spans="1:4" ht="93.6" x14ac:dyDescent="0.3">
      <c r="A48" s="5" t="s">
        <v>211</v>
      </c>
    </row>
    <row r="49" spans="1:4" x14ac:dyDescent="0.3">
      <c r="A49" s="5"/>
    </row>
    <row r="50" spans="1:4" x14ac:dyDescent="0.3">
      <c r="A50" s="13" t="s">
        <v>29</v>
      </c>
      <c r="B50" s="13" t="s">
        <v>30</v>
      </c>
      <c r="C50" s="13" t="s">
        <v>31</v>
      </c>
      <c r="D50" s="13" t="s">
        <v>32</v>
      </c>
    </row>
    <row r="51" spans="1:4" x14ac:dyDescent="0.3">
      <c r="A51" s="67" t="s">
        <v>33</v>
      </c>
      <c r="B51" s="18">
        <v>7.8</v>
      </c>
      <c r="C51" s="8">
        <f>INT(B51)</f>
        <v>7</v>
      </c>
      <c r="D51" s="8">
        <f>TRUNC(B51)</f>
        <v>7</v>
      </c>
    </row>
    <row r="52" spans="1:4" x14ac:dyDescent="0.3">
      <c r="A52" s="67" t="s">
        <v>34</v>
      </c>
      <c r="B52" s="18">
        <v>15.23</v>
      </c>
      <c r="C52" s="8">
        <f t="shared" ref="C52:C61" si="2">INT(B52)</f>
        <v>15</v>
      </c>
      <c r="D52" s="8">
        <f t="shared" ref="D52:D61" si="3">TRUNC(B52)</f>
        <v>15</v>
      </c>
    </row>
    <row r="53" spans="1:4" x14ac:dyDescent="0.3">
      <c r="A53" s="67" t="s">
        <v>35</v>
      </c>
      <c r="B53" s="18">
        <v>99.9</v>
      </c>
      <c r="C53" s="8">
        <f t="shared" si="2"/>
        <v>99</v>
      </c>
      <c r="D53" s="8">
        <f t="shared" si="3"/>
        <v>99</v>
      </c>
    </row>
    <row r="54" spans="1:4" x14ac:dyDescent="0.3">
      <c r="A54" s="67" t="s">
        <v>36</v>
      </c>
      <c r="B54" s="18">
        <v>-3.4</v>
      </c>
      <c r="C54" s="8">
        <f t="shared" si="2"/>
        <v>-4</v>
      </c>
      <c r="D54" s="8">
        <f t="shared" si="3"/>
        <v>-3</v>
      </c>
    </row>
    <row r="55" spans="1:4" x14ac:dyDescent="0.3">
      <c r="A55" s="67" t="s">
        <v>37</v>
      </c>
      <c r="B55" s="18">
        <v>-12.75</v>
      </c>
      <c r="C55" s="8">
        <f t="shared" si="2"/>
        <v>-13</v>
      </c>
      <c r="D55" s="8">
        <f t="shared" si="3"/>
        <v>-12</v>
      </c>
    </row>
    <row r="56" spans="1:4" x14ac:dyDescent="0.3">
      <c r="A56" s="67" t="s">
        <v>38</v>
      </c>
      <c r="B56" s="18">
        <v>-0.62</v>
      </c>
      <c r="C56" s="8">
        <f t="shared" si="2"/>
        <v>-1</v>
      </c>
      <c r="D56" s="8">
        <f t="shared" si="3"/>
        <v>0</v>
      </c>
    </row>
    <row r="57" spans="1:4" x14ac:dyDescent="0.3">
      <c r="A57" s="67" t="s">
        <v>39</v>
      </c>
      <c r="B57" s="18">
        <v>22.49</v>
      </c>
      <c r="C57" s="8">
        <f t="shared" si="2"/>
        <v>22</v>
      </c>
      <c r="D57" s="8">
        <f t="shared" si="3"/>
        <v>22</v>
      </c>
    </row>
    <row r="58" spans="1:4" x14ac:dyDescent="0.3">
      <c r="A58" s="67" t="s">
        <v>40</v>
      </c>
      <c r="B58" s="18">
        <v>-8.01</v>
      </c>
      <c r="C58" s="8">
        <f t="shared" si="2"/>
        <v>-9</v>
      </c>
      <c r="D58" s="8">
        <f t="shared" si="3"/>
        <v>-8</v>
      </c>
    </row>
    <row r="59" spans="1:4" x14ac:dyDescent="0.3">
      <c r="A59" s="67" t="s">
        <v>41</v>
      </c>
      <c r="B59" s="18">
        <v>4.99</v>
      </c>
      <c r="C59" s="8">
        <f t="shared" si="2"/>
        <v>4</v>
      </c>
      <c r="D59" s="8">
        <f t="shared" si="3"/>
        <v>4</v>
      </c>
    </row>
    <row r="60" spans="1:4" x14ac:dyDescent="0.3">
      <c r="A60" s="67" t="s">
        <v>42</v>
      </c>
      <c r="B60" s="18">
        <v>11.58</v>
      </c>
      <c r="C60" s="8">
        <f t="shared" si="2"/>
        <v>11</v>
      </c>
      <c r="D60" s="8">
        <f t="shared" si="3"/>
        <v>11</v>
      </c>
    </row>
    <row r="61" spans="1:4" x14ac:dyDescent="0.3">
      <c r="A61" s="67" t="s">
        <v>43</v>
      </c>
      <c r="B61" s="18">
        <v>-5.2</v>
      </c>
      <c r="C61" s="8">
        <f t="shared" si="2"/>
        <v>-6</v>
      </c>
      <c r="D61" s="8">
        <f t="shared" si="3"/>
        <v>-5</v>
      </c>
    </row>
    <row r="63" spans="1:4" x14ac:dyDescent="0.3">
      <c r="A63" s="17" t="s">
        <v>44</v>
      </c>
    </row>
    <row r="64" spans="1:4" ht="93.6" x14ac:dyDescent="0.3">
      <c r="A64" s="5" t="s">
        <v>45</v>
      </c>
    </row>
    <row r="65" spans="1:4" x14ac:dyDescent="0.3">
      <c r="A65" s="5"/>
    </row>
    <row r="66" spans="1:4" x14ac:dyDescent="0.3">
      <c r="A66" s="10" t="s">
        <v>46</v>
      </c>
      <c r="B66" s="10" t="s">
        <v>47</v>
      </c>
      <c r="C66" s="10" t="s">
        <v>8</v>
      </c>
      <c r="D66" s="10" t="s">
        <v>48</v>
      </c>
    </row>
    <row r="67" spans="1:4" x14ac:dyDescent="0.3">
      <c r="A67" s="67" t="s">
        <v>49</v>
      </c>
      <c r="B67" s="67" t="s">
        <v>50</v>
      </c>
      <c r="C67" s="67">
        <v>48</v>
      </c>
      <c r="D67" s="67" t="s">
        <v>51</v>
      </c>
    </row>
    <row r="68" spans="1:4" x14ac:dyDescent="0.3">
      <c r="A68" s="67" t="s">
        <v>52</v>
      </c>
      <c r="B68" s="67" t="s">
        <v>53</v>
      </c>
      <c r="C68" s="67">
        <v>15</v>
      </c>
      <c r="D68" s="67" t="s">
        <v>54</v>
      </c>
    </row>
    <row r="69" spans="1:4" x14ac:dyDescent="0.3">
      <c r="A69" s="67" t="s">
        <v>55</v>
      </c>
      <c r="B69" s="67" t="s">
        <v>56</v>
      </c>
      <c r="C69" s="67">
        <v>22</v>
      </c>
      <c r="D69" s="67" t="s">
        <v>57</v>
      </c>
    </row>
    <row r="70" spans="1:4" x14ac:dyDescent="0.3">
      <c r="A70" s="67" t="s">
        <v>58</v>
      </c>
      <c r="B70" s="67" t="s">
        <v>56</v>
      </c>
      <c r="C70" s="67">
        <v>10</v>
      </c>
      <c r="D70" s="67" t="s">
        <v>59</v>
      </c>
    </row>
    <row r="71" spans="1:4" x14ac:dyDescent="0.3">
      <c r="A71" s="67" t="s">
        <v>60</v>
      </c>
      <c r="B71" s="67" t="s">
        <v>61</v>
      </c>
      <c r="C71" s="67"/>
      <c r="D71" s="67" t="s">
        <v>62</v>
      </c>
    </row>
    <row r="72" spans="1:4" x14ac:dyDescent="0.3">
      <c r="A72" s="67" t="s">
        <v>63</v>
      </c>
      <c r="B72" s="67" t="s">
        <v>64</v>
      </c>
      <c r="C72" s="67">
        <v>5</v>
      </c>
      <c r="D72" s="67" t="s">
        <v>65</v>
      </c>
    </row>
    <row r="73" spans="1:4" x14ac:dyDescent="0.3">
      <c r="A73" s="67" t="s">
        <v>66</v>
      </c>
      <c r="B73" s="67" t="s">
        <v>67</v>
      </c>
      <c r="C73" s="67">
        <v>2</v>
      </c>
      <c r="D73" s="67" t="s">
        <v>68</v>
      </c>
    </row>
    <row r="74" spans="1:4" x14ac:dyDescent="0.3">
      <c r="A74" s="18" t="s">
        <v>69</v>
      </c>
      <c r="B74" s="8">
        <f>COUNTA(B67:B73)</f>
        <v>7</v>
      </c>
      <c r="C74" s="18" t="s">
        <v>70</v>
      </c>
      <c r="D74" s="8">
        <f>COUNT(C67:C73)</f>
        <v>6</v>
      </c>
    </row>
    <row r="76" spans="1:4" x14ac:dyDescent="0.3">
      <c r="A76" s="17" t="s">
        <v>71</v>
      </c>
    </row>
    <row r="77" spans="1:4" ht="78" x14ac:dyDescent="0.3">
      <c r="A77" s="5" t="s">
        <v>72</v>
      </c>
    </row>
    <row r="78" spans="1:4" x14ac:dyDescent="0.3">
      <c r="A78" s="10" t="s">
        <v>73</v>
      </c>
      <c r="B78" s="10" t="s">
        <v>74</v>
      </c>
    </row>
    <row r="79" spans="1:4" x14ac:dyDescent="0.3">
      <c r="A79" s="67" t="s">
        <v>75</v>
      </c>
      <c r="B79" s="67">
        <v>18500</v>
      </c>
    </row>
    <row r="80" spans="1:4" x14ac:dyDescent="0.3">
      <c r="A80" s="67" t="s">
        <v>76</v>
      </c>
      <c r="B80" s="67">
        <v>21250</v>
      </c>
    </row>
    <row r="81" spans="1:3" x14ac:dyDescent="0.3">
      <c r="A81" s="67" t="s">
        <v>77</v>
      </c>
      <c r="B81" s="67">
        <v>19800</v>
      </c>
    </row>
    <row r="82" spans="1:3" x14ac:dyDescent="0.3">
      <c r="A82" s="67" t="s">
        <v>78</v>
      </c>
      <c r="B82" s="67">
        <v>25000</v>
      </c>
    </row>
    <row r="83" spans="1:3" x14ac:dyDescent="0.3">
      <c r="A83" s="67" t="s">
        <v>79</v>
      </c>
      <c r="B83" s="67">
        <v>23750</v>
      </c>
    </row>
    <row r="84" spans="1:3" x14ac:dyDescent="0.3">
      <c r="A84" s="67" t="s">
        <v>80</v>
      </c>
      <c r="B84" s="67">
        <v>22100</v>
      </c>
    </row>
    <row r="85" spans="1:3" x14ac:dyDescent="0.3">
      <c r="A85" s="67" t="s">
        <v>81</v>
      </c>
      <c r="B85" s="67">
        <v>26400</v>
      </c>
    </row>
    <row r="86" spans="1:3" x14ac:dyDescent="0.3">
      <c r="A86" s="67" t="s">
        <v>82</v>
      </c>
      <c r="B86" s="67">
        <v>24300</v>
      </c>
    </row>
    <row r="87" spans="1:3" x14ac:dyDescent="0.3">
      <c r="A87" s="67" t="s">
        <v>83</v>
      </c>
      <c r="B87" s="8">
        <v>26400</v>
      </c>
    </row>
    <row r="89" spans="1:3" x14ac:dyDescent="0.3">
      <c r="A89" s="17" t="s">
        <v>84</v>
      </c>
    </row>
    <row r="90" spans="1:3" ht="62.4" x14ac:dyDescent="0.3">
      <c r="A90" s="5" t="s">
        <v>85</v>
      </c>
    </row>
    <row r="91" spans="1:3" x14ac:dyDescent="0.3">
      <c r="A91" s="5"/>
    </row>
    <row r="92" spans="1:3" x14ac:dyDescent="0.3">
      <c r="A92" s="10" t="s">
        <v>86</v>
      </c>
      <c r="B92" s="10" t="s">
        <v>87</v>
      </c>
      <c r="C92" s="10" t="s">
        <v>88</v>
      </c>
    </row>
    <row r="93" spans="1:3" x14ac:dyDescent="0.3">
      <c r="A93" s="67" t="s">
        <v>89</v>
      </c>
      <c r="B93" s="67" t="s">
        <v>90</v>
      </c>
      <c r="C93" s="19">
        <v>425</v>
      </c>
    </row>
    <row r="94" spans="1:3" x14ac:dyDescent="0.3">
      <c r="A94" s="67" t="s">
        <v>91</v>
      </c>
      <c r="B94" s="67" t="s">
        <v>92</v>
      </c>
      <c r="C94" s="19">
        <v>980</v>
      </c>
    </row>
    <row r="95" spans="1:3" x14ac:dyDescent="0.3">
      <c r="A95" s="67" t="s">
        <v>93</v>
      </c>
      <c r="B95" s="67" t="s">
        <v>94</v>
      </c>
      <c r="C95" s="19">
        <v>160</v>
      </c>
    </row>
    <row r="96" spans="1:3" x14ac:dyDescent="0.3">
      <c r="A96" s="67" t="s">
        <v>95</v>
      </c>
      <c r="B96" s="67" t="s">
        <v>96</v>
      </c>
      <c r="C96" s="19">
        <v>350</v>
      </c>
    </row>
    <row r="97" spans="1:4" x14ac:dyDescent="0.3">
      <c r="A97" s="67" t="s">
        <v>97</v>
      </c>
      <c r="B97" s="67" t="s">
        <v>98</v>
      </c>
      <c r="C97" s="19">
        <v>1200</v>
      </c>
    </row>
    <row r="98" spans="1:4" x14ac:dyDescent="0.3">
      <c r="A98" s="67" t="s">
        <v>99</v>
      </c>
      <c r="B98" s="67" t="s">
        <v>90</v>
      </c>
      <c r="C98" s="19">
        <v>95</v>
      </c>
    </row>
    <row r="99" spans="1:4" x14ac:dyDescent="0.3">
      <c r="A99" s="67" t="s">
        <v>100</v>
      </c>
      <c r="B99" s="67"/>
      <c r="C99" s="12">
        <f>MIN(C93:C98)</f>
        <v>95</v>
      </c>
    </row>
    <row r="101" spans="1:4" x14ac:dyDescent="0.3">
      <c r="A101" s="17" t="s">
        <v>101</v>
      </c>
    </row>
    <row r="102" spans="1:4" x14ac:dyDescent="0.3">
      <c r="A102" s="20" t="s">
        <v>102</v>
      </c>
    </row>
    <row r="103" spans="1:4" ht="124.8" x14ac:dyDescent="0.3">
      <c r="A103" s="5" t="s">
        <v>103</v>
      </c>
    </row>
    <row r="104" spans="1:4" x14ac:dyDescent="0.3">
      <c r="A104" s="13" t="s">
        <v>104</v>
      </c>
      <c r="B104" s="13" t="s">
        <v>105</v>
      </c>
      <c r="C104" s="13" t="s">
        <v>47</v>
      </c>
      <c r="D104" s="13" t="s">
        <v>88</v>
      </c>
    </row>
    <row r="105" spans="1:4" x14ac:dyDescent="0.3">
      <c r="A105" s="67">
        <v>1001</v>
      </c>
      <c r="B105" s="21">
        <v>46025</v>
      </c>
      <c r="C105" s="67" t="s">
        <v>106</v>
      </c>
      <c r="D105" s="67">
        <v>249.99</v>
      </c>
    </row>
    <row r="106" spans="1:4" x14ac:dyDescent="0.3">
      <c r="A106" s="67">
        <v>1002</v>
      </c>
      <c r="B106" s="21">
        <v>46026</v>
      </c>
      <c r="C106" s="67" t="s">
        <v>107</v>
      </c>
      <c r="D106" s="67">
        <v>39.5</v>
      </c>
    </row>
    <row r="107" spans="1:4" x14ac:dyDescent="0.3">
      <c r="A107" s="67">
        <v>1003</v>
      </c>
      <c r="B107" s="21">
        <v>46027</v>
      </c>
      <c r="C107" s="67" t="s">
        <v>106</v>
      </c>
      <c r="D107" s="67">
        <v>89</v>
      </c>
    </row>
    <row r="108" spans="1:4" x14ac:dyDescent="0.3">
      <c r="A108" s="67">
        <v>1004</v>
      </c>
      <c r="B108" s="21">
        <v>46027</v>
      </c>
      <c r="C108" s="67" t="s">
        <v>108</v>
      </c>
      <c r="D108" s="67">
        <v>59.99</v>
      </c>
    </row>
    <row r="109" spans="1:4" x14ac:dyDescent="0.3">
      <c r="A109" s="67">
        <v>1005</v>
      </c>
      <c r="B109" s="21">
        <v>46028</v>
      </c>
      <c r="C109" s="67" t="s">
        <v>106</v>
      </c>
      <c r="D109" s="67">
        <v>129</v>
      </c>
    </row>
    <row r="110" spans="1:4" x14ac:dyDescent="0.3">
      <c r="A110" s="67">
        <v>1006</v>
      </c>
      <c r="B110" s="21">
        <v>46028</v>
      </c>
      <c r="C110" s="67" t="s">
        <v>109</v>
      </c>
      <c r="D110" s="67">
        <v>24.99</v>
      </c>
    </row>
    <row r="111" spans="1:4" x14ac:dyDescent="0.3">
      <c r="A111" s="67">
        <v>1007</v>
      </c>
      <c r="B111" s="21">
        <v>46029</v>
      </c>
      <c r="C111" s="67" t="s">
        <v>107</v>
      </c>
      <c r="D111" s="67">
        <v>75</v>
      </c>
    </row>
    <row r="112" spans="1:4" x14ac:dyDescent="0.3">
      <c r="A112" s="67"/>
      <c r="B112" s="67"/>
      <c r="C112" s="67" t="s">
        <v>110</v>
      </c>
      <c r="D112" s="8">
        <v>3</v>
      </c>
    </row>
    <row r="114" spans="1:3" x14ac:dyDescent="0.3">
      <c r="A114" s="17" t="s">
        <v>111</v>
      </c>
    </row>
    <row r="115" spans="1:3" ht="140.4" x14ac:dyDescent="0.3">
      <c r="A115" s="5" t="s">
        <v>112</v>
      </c>
    </row>
    <row r="116" spans="1:3" x14ac:dyDescent="0.3">
      <c r="A116" s="13" t="s">
        <v>113</v>
      </c>
      <c r="B116" s="13" t="s">
        <v>87</v>
      </c>
      <c r="C116" s="13" t="s">
        <v>114</v>
      </c>
    </row>
    <row r="117" spans="1:3" x14ac:dyDescent="0.3">
      <c r="A117" s="67" t="s">
        <v>115</v>
      </c>
      <c r="B117" s="67" t="s">
        <v>116</v>
      </c>
      <c r="C117" s="11">
        <v>48000</v>
      </c>
    </row>
    <row r="118" spans="1:3" x14ac:dyDescent="0.3">
      <c r="A118" s="67" t="s">
        <v>117</v>
      </c>
      <c r="B118" s="67" t="s">
        <v>90</v>
      </c>
      <c r="C118" s="11">
        <v>52000</v>
      </c>
    </row>
    <row r="119" spans="1:3" x14ac:dyDescent="0.3">
      <c r="A119" s="67" t="s">
        <v>118</v>
      </c>
      <c r="B119" s="67" t="s">
        <v>119</v>
      </c>
      <c r="C119" s="11">
        <v>56000</v>
      </c>
    </row>
    <row r="120" spans="1:3" x14ac:dyDescent="0.3">
      <c r="A120" s="67" t="s">
        <v>120</v>
      </c>
      <c r="B120" s="67" t="s">
        <v>92</v>
      </c>
      <c r="C120" s="11">
        <v>59000</v>
      </c>
    </row>
    <row r="121" spans="1:3" x14ac:dyDescent="0.3">
      <c r="A121" s="67" t="s">
        <v>121</v>
      </c>
      <c r="B121" s="67" t="s">
        <v>96</v>
      </c>
      <c r="C121" s="11">
        <v>62000</v>
      </c>
    </row>
    <row r="122" spans="1:3" x14ac:dyDescent="0.3">
      <c r="A122" s="67" t="s">
        <v>122</v>
      </c>
      <c r="B122" s="67" t="s">
        <v>123</v>
      </c>
      <c r="C122" s="11">
        <v>68000</v>
      </c>
    </row>
    <row r="123" spans="1:3" x14ac:dyDescent="0.3">
      <c r="A123" s="67" t="s">
        <v>124</v>
      </c>
      <c r="B123" s="67" t="s">
        <v>46</v>
      </c>
      <c r="C123" s="11">
        <v>74000</v>
      </c>
    </row>
    <row r="124" spans="1:3" x14ac:dyDescent="0.3">
      <c r="A124" s="67" t="s">
        <v>125</v>
      </c>
      <c r="B124" s="67" t="s">
        <v>126</v>
      </c>
      <c r="C124" s="11">
        <v>150000</v>
      </c>
    </row>
    <row r="125" spans="1:3" x14ac:dyDescent="0.3">
      <c r="A125" s="67" t="s">
        <v>127</v>
      </c>
      <c r="B125" s="12">
        <f>MEDIAN(C117:C124)</f>
        <v>60500</v>
      </c>
      <c r="C125" s="67"/>
    </row>
    <row r="126" spans="1:3" x14ac:dyDescent="0.3">
      <c r="A126" s="67" t="s">
        <v>128</v>
      </c>
      <c r="B126" s="67" t="s">
        <v>129</v>
      </c>
      <c r="C126" s="67"/>
    </row>
    <row r="127" spans="1:3" x14ac:dyDescent="0.3">
      <c r="A127" s="67"/>
    </row>
    <row r="128" spans="1:3" x14ac:dyDescent="0.3">
      <c r="A128" s="22" t="s">
        <v>130</v>
      </c>
    </row>
    <row r="129" spans="1:4" ht="202.8" x14ac:dyDescent="0.3">
      <c r="A129" s="67" t="s">
        <v>131</v>
      </c>
    </row>
    <row r="130" spans="1:4" x14ac:dyDescent="0.3">
      <c r="A130" s="67"/>
    </row>
    <row r="131" spans="1:4" x14ac:dyDescent="0.3">
      <c r="A131" s="13" t="s">
        <v>132</v>
      </c>
      <c r="B131" s="67"/>
      <c r="C131" s="67"/>
    </row>
    <row r="132" spans="1:4" x14ac:dyDescent="0.3">
      <c r="A132" s="23">
        <v>8.2500000000000004E-2</v>
      </c>
      <c r="B132" s="67"/>
      <c r="C132" s="67"/>
    </row>
    <row r="133" spans="1:4" x14ac:dyDescent="0.3">
      <c r="A133" s="67"/>
      <c r="B133" s="67"/>
      <c r="C133" s="67"/>
    </row>
    <row r="134" spans="1:4" x14ac:dyDescent="0.3">
      <c r="A134" s="13" t="s">
        <v>46</v>
      </c>
      <c r="B134" s="13" t="s">
        <v>9</v>
      </c>
      <c r="C134" s="13" t="s">
        <v>138</v>
      </c>
      <c r="D134" s="13" t="s">
        <v>137</v>
      </c>
    </row>
    <row r="135" spans="1:4" x14ac:dyDescent="0.3">
      <c r="A135" s="67" t="s">
        <v>13</v>
      </c>
      <c r="B135" s="67">
        <v>24.99</v>
      </c>
      <c r="C135" s="8">
        <f>B135*(1+A132)</f>
        <v>27.051674999999999</v>
      </c>
      <c r="D135" s="8">
        <f>B135*(1+$A$132)</f>
        <v>27.051674999999999</v>
      </c>
    </row>
    <row r="136" spans="1:4" x14ac:dyDescent="0.3">
      <c r="A136" s="67" t="s">
        <v>133</v>
      </c>
      <c r="B136" s="67">
        <v>15.5</v>
      </c>
      <c r="C136" s="8">
        <f>B136*(1+A133)</f>
        <v>15.5</v>
      </c>
      <c r="D136" s="8">
        <f t="shared" ref="D136:D139" si="4">B136*(1+$A$132)</f>
        <v>16.778749999999999</v>
      </c>
    </row>
    <row r="137" spans="1:4" x14ac:dyDescent="0.3">
      <c r="A137" s="67" t="s">
        <v>134</v>
      </c>
      <c r="B137" s="67">
        <v>89</v>
      </c>
      <c r="C137" s="8" t="e">
        <f>B137*(1+A134)</f>
        <v>#VALUE!</v>
      </c>
      <c r="D137" s="8">
        <f t="shared" si="4"/>
        <v>96.342500000000001</v>
      </c>
    </row>
    <row r="138" spans="1:4" x14ac:dyDescent="0.3">
      <c r="A138" s="67" t="s">
        <v>135</v>
      </c>
      <c r="B138" s="67">
        <v>5.25</v>
      </c>
      <c r="C138" s="8" t="e">
        <f t="shared" ref="C138:C139" si="5">B138*(1+A135)</f>
        <v>#VALUE!</v>
      </c>
      <c r="D138" s="8">
        <f t="shared" si="4"/>
        <v>5.6831250000000004</v>
      </c>
    </row>
    <row r="139" spans="1:4" x14ac:dyDescent="0.3">
      <c r="A139" s="67" t="s">
        <v>136</v>
      </c>
      <c r="B139" s="67">
        <v>12.75</v>
      </c>
      <c r="C139" s="8" t="e">
        <f t="shared" si="5"/>
        <v>#VALUE!</v>
      </c>
      <c r="D139" s="8">
        <f t="shared" si="4"/>
        <v>13.801875000000001</v>
      </c>
    </row>
    <row r="140" spans="1:4" x14ac:dyDescent="0.3">
      <c r="A140" s="67"/>
    </row>
    <row r="141" spans="1:4" x14ac:dyDescent="0.3">
      <c r="A141" s="17" t="s">
        <v>139</v>
      </c>
    </row>
    <row r="142" spans="1:4" ht="93.6" x14ac:dyDescent="0.3">
      <c r="A142" s="67" t="s">
        <v>140</v>
      </c>
    </row>
    <row r="143" spans="1:4" x14ac:dyDescent="0.3">
      <c r="A143" s="67"/>
    </row>
    <row r="144" spans="1:4" x14ac:dyDescent="0.3">
      <c r="A144" s="13" t="s">
        <v>87</v>
      </c>
      <c r="B144" s="13" t="s">
        <v>141</v>
      </c>
      <c r="C144" s="13" t="s">
        <v>142</v>
      </c>
    </row>
    <row r="145" spans="1:3" x14ac:dyDescent="0.3">
      <c r="A145" s="67" t="s">
        <v>119</v>
      </c>
      <c r="B145" s="24">
        <v>150000</v>
      </c>
      <c r="C145" s="25">
        <f>B145/$B$150</f>
        <v>0.15</v>
      </c>
    </row>
    <row r="146" spans="1:3" x14ac:dyDescent="0.3">
      <c r="A146" s="67" t="s">
        <v>96</v>
      </c>
      <c r="B146" s="24">
        <v>400000</v>
      </c>
      <c r="C146" s="25">
        <f>B146/$B$150</f>
        <v>0.4</v>
      </c>
    </row>
    <row r="147" spans="1:3" x14ac:dyDescent="0.3">
      <c r="A147" s="67" t="s">
        <v>90</v>
      </c>
      <c r="B147" s="24">
        <v>250000</v>
      </c>
      <c r="C147" s="25">
        <f>B147/$B$150</f>
        <v>0.25</v>
      </c>
    </row>
    <row r="148" spans="1:3" x14ac:dyDescent="0.3">
      <c r="A148" s="67" t="s">
        <v>143</v>
      </c>
      <c r="B148" s="24">
        <v>180000</v>
      </c>
      <c r="C148" s="25">
        <f>B148/$B$150</f>
        <v>0.18</v>
      </c>
    </row>
    <row r="149" spans="1:3" x14ac:dyDescent="0.3">
      <c r="A149" s="67" t="s">
        <v>116</v>
      </c>
      <c r="B149" s="24">
        <v>20000</v>
      </c>
      <c r="C149" s="25">
        <f>B149/$B$150</f>
        <v>0.02</v>
      </c>
    </row>
    <row r="150" spans="1:3" x14ac:dyDescent="0.3">
      <c r="A150" s="67" t="s">
        <v>144</v>
      </c>
      <c r="B150" s="26">
        <f>SUM(B145:B149)</f>
        <v>1000000</v>
      </c>
      <c r="C150" s="18"/>
    </row>
    <row r="151" spans="1:3" x14ac:dyDescent="0.3">
      <c r="A151" s="67"/>
      <c r="B151" s="67"/>
    </row>
    <row r="152" spans="1:3" x14ac:dyDescent="0.3">
      <c r="A152" s="22" t="s">
        <v>145</v>
      </c>
      <c r="B152" s="67"/>
    </row>
    <row r="153" spans="1:3" ht="156" x14ac:dyDescent="0.3">
      <c r="A153" s="67" t="s">
        <v>146</v>
      </c>
      <c r="B153" s="67"/>
    </row>
    <row r="154" spans="1:3" x14ac:dyDescent="0.3">
      <c r="A154" s="67" t="s">
        <v>147</v>
      </c>
      <c r="B154" s="67" t="s">
        <v>148</v>
      </c>
      <c r="C154" s="8" t="str">
        <f>_xlfn.CONCAT(A154," ",B154)</f>
        <v>John Doe</v>
      </c>
    </row>
    <row r="155" spans="1:3" x14ac:dyDescent="0.3">
      <c r="A155" s="67" t="s">
        <v>149</v>
      </c>
      <c r="B155" s="67" t="s">
        <v>150</v>
      </c>
      <c r="C155" s="8" t="str">
        <f t="shared" ref="C155:C161" si="6">_xlfn.CONCAT(A155," ",B155)</f>
        <v>Nicole Rogers</v>
      </c>
    </row>
    <row r="156" spans="1:3" x14ac:dyDescent="0.3">
      <c r="A156" s="67" t="s">
        <v>151</v>
      </c>
      <c r="B156" s="67" t="s">
        <v>152</v>
      </c>
      <c r="C156" s="8" t="str">
        <f t="shared" si="6"/>
        <v>Liam Simpson</v>
      </c>
    </row>
    <row r="157" spans="1:3" x14ac:dyDescent="0.3">
      <c r="A157" s="67" t="s">
        <v>153</v>
      </c>
      <c r="B157" s="67" t="s">
        <v>154</v>
      </c>
      <c r="C157" s="8" t="str">
        <f t="shared" si="6"/>
        <v>Peter Stein</v>
      </c>
    </row>
    <row r="158" spans="1:3" x14ac:dyDescent="0.3">
      <c r="A158" s="67" t="s">
        <v>155</v>
      </c>
      <c r="B158" s="67" t="s">
        <v>156</v>
      </c>
      <c r="C158" s="8" t="str">
        <f t="shared" si="6"/>
        <v>Anthony Newton</v>
      </c>
    </row>
    <row r="159" spans="1:3" x14ac:dyDescent="0.3">
      <c r="A159" s="67" t="s">
        <v>157</v>
      </c>
      <c r="B159" s="67" t="s">
        <v>158</v>
      </c>
      <c r="C159" s="8" t="str">
        <f t="shared" si="6"/>
        <v>Lydia Ross</v>
      </c>
    </row>
    <row r="160" spans="1:3" x14ac:dyDescent="0.3">
      <c r="A160" s="67" t="s">
        <v>159</v>
      </c>
      <c r="B160" s="67" t="s">
        <v>160</v>
      </c>
      <c r="C160" s="8" t="str">
        <f t="shared" si="6"/>
        <v>Emmy Watts</v>
      </c>
    </row>
    <row r="161" spans="1:4" x14ac:dyDescent="0.3">
      <c r="A161" s="67" t="s">
        <v>161</v>
      </c>
      <c r="B161" s="67" t="s">
        <v>162</v>
      </c>
      <c r="C161" s="8" t="str">
        <f t="shared" si="6"/>
        <v>David Fraser</v>
      </c>
    </row>
    <row r="162" spans="1:4" x14ac:dyDescent="0.3">
      <c r="A162" s="67"/>
    </row>
    <row r="163" spans="1:4" x14ac:dyDescent="0.3">
      <c r="A163" s="22" t="s">
        <v>164</v>
      </c>
    </row>
    <row r="164" spans="1:4" x14ac:dyDescent="0.3">
      <c r="A164" s="67"/>
    </row>
    <row r="165" spans="1:4" x14ac:dyDescent="0.3">
      <c r="A165" s="67" t="s">
        <v>163</v>
      </c>
    </row>
    <row r="166" spans="1:4" x14ac:dyDescent="0.3">
      <c r="A166" s="67"/>
    </row>
    <row r="167" spans="1:4" ht="78" x14ac:dyDescent="0.3">
      <c r="A167" s="67" t="s">
        <v>165</v>
      </c>
    </row>
    <row r="168" spans="1:4" x14ac:dyDescent="0.3">
      <c r="A168" s="67"/>
    </row>
    <row r="169" spans="1:4" x14ac:dyDescent="0.3">
      <c r="A169" s="13" t="s">
        <v>166</v>
      </c>
      <c r="B169" s="27" t="s">
        <v>198</v>
      </c>
      <c r="C169" s="13" t="s">
        <v>167</v>
      </c>
      <c r="D169" s="27" t="s">
        <v>199</v>
      </c>
    </row>
    <row r="170" spans="1:4" x14ac:dyDescent="0.3">
      <c r="A170" s="67" t="s">
        <v>168</v>
      </c>
      <c r="B170" s="8" t="s">
        <v>169</v>
      </c>
      <c r="C170" s="67" t="s">
        <v>170</v>
      </c>
      <c r="D170" s="8" t="s">
        <v>170</v>
      </c>
    </row>
    <row r="171" spans="1:4" x14ac:dyDescent="0.3">
      <c r="A171" s="67" t="s">
        <v>171</v>
      </c>
      <c r="B171" s="8" t="s">
        <v>172</v>
      </c>
      <c r="C171" s="67" t="s">
        <v>173</v>
      </c>
      <c r="D171" s="8" t="s">
        <v>173</v>
      </c>
    </row>
    <row r="172" spans="1:4" ht="31.2" x14ac:dyDescent="0.3">
      <c r="A172" s="67" t="s">
        <v>174</v>
      </c>
      <c r="B172" s="8" t="s">
        <v>175</v>
      </c>
      <c r="C172" s="67" t="s">
        <v>176</v>
      </c>
      <c r="D172" s="8" t="s">
        <v>176</v>
      </c>
    </row>
    <row r="173" spans="1:4" x14ac:dyDescent="0.3">
      <c r="A173" s="67" t="s">
        <v>177</v>
      </c>
      <c r="B173" s="8" t="s">
        <v>178</v>
      </c>
      <c r="C173" s="67" t="s">
        <v>179</v>
      </c>
      <c r="D173" s="8" t="s">
        <v>179</v>
      </c>
    </row>
    <row r="174" spans="1:4" x14ac:dyDescent="0.3">
      <c r="A174" s="67" t="s">
        <v>180</v>
      </c>
      <c r="B174" s="8" t="s">
        <v>181</v>
      </c>
      <c r="C174" s="67" t="s">
        <v>182</v>
      </c>
      <c r="D174" s="8" t="s">
        <v>182</v>
      </c>
    </row>
    <row r="175" spans="1:4" ht="31.2" x14ac:dyDescent="0.3">
      <c r="A175" s="67" t="s">
        <v>183</v>
      </c>
      <c r="B175" s="8" t="s">
        <v>184</v>
      </c>
      <c r="C175" s="67" t="s">
        <v>185</v>
      </c>
      <c r="D175" s="8" t="s">
        <v>185</v>
      </c>
    </row>
    <row r="176" spans="1:4" x14ac:dyDescent="0.3">
      <c r="A176" s="67" t="s">
        <v>186</v>
      </c>
      <c r="B176" s="8" t="s">
        <v>187</v>
      </c>
      <c r="C176" s="67" t="s">
        <v>188</v>
      </c>
      <c r="D176" s="8" t="s">
        <v>188</v>
      </c>
    </row>
    <row r="177" spans="1:4" ht="31.2" x14ac:dyDescent="0.3">
      <c r="A177" s="67" t="s">
        <v>189</v>
      </c>
      <c r="B177" s="8" t="s">
        <v>190</v>
      </c>
      <c r="C177" s="67" t="s">
        <v>191</v>
      </c>
      <c r="D177" s="8" t="s">
        <v>191</v>
      </c>
    </row>
    <row r="178" spans="1:4" x14ac:dyDescent="0.3">
      <c r="A178" s="67" t="s">
        <v>192</v>
      </c>
      <c r="B178" s="8" t="s">
        <v>193</v>
      </c>
      <c r="C178" s="67" t="s">
        <v>194</v>
      </c>
      <c r="D178" s="8" t="s">
        <v>194</v>
      </c>
    </row>
    <row r="179" spans="1:4" x14ac:dyDescent="0.3">
      <c r="A179" s="67" t="s">
        <v>195</v>
      </c>
      <c r="B179" s="8" t="s">
        <v>196</v>
      </c>
      <c r="C179" s="67" t="s">
        <v>197</v>
      </c>
      <c r="D179" s="8" t="s">
        <v>197</v>
      </c>
    </row>
    <row r="181" spans="1:4" x14ac:dyDescent="0.3">
      <c r="A181" s="22" t="s">
        <v>200</v>
      </c>
    </row>
    <row r="182" spans="1:4" ht="109.2" x14ac:dyDescent="0.3">
      <c r="A182" s="5" t="s">
        <v>201</v>
      </c>
    </row>
    <row r="183" spans="1:4" x14ac:dyDescent="0.3">
      <c r="A183" s="10" t="s">
        <v>202</v>
      </c>
      <c r="B183" s="10" t="s">
        <v>203</v>
      </c>
    </row>
    <row r="184" spans="1:4" x14ac:dyDescent="0.3">
      <c r="A184" s="67" t="s">
        <v>204</v>
      </c>
      <c r="B184" s="28" t="str">
        <f>LEFT(A184,3)</f>
        <v>FIN</v>
      </c>
    </row>
    <row r="185" spans="1:4" x14ac:dyDescent="0.3">
      <c r="A185" s="67" t="s">
        <v>205</v>
      </c>
      <c r="B185" s="28" t="str">
        <f t="shared" ref="B185:B190" si="7">LEFT(A185,3)</f>
        <v>MKT</v>
      </c>
    </row>
    <row r="186" spans="1:4" x14ac:dyDescent="0.3">
      <c r="A186" s="67" t="s">
        <v>206</v>
      </c>
      <c r="B186" s="28" t="str">
        <f t="shared" si="7"/>
        <v>OPS</v>
      </c>
    </row>
    <row r="187" spans="1:4" x14ac:dyDescent="0.3">
      <c r="A187" s="67" t="s">
        <v>207</v>
      </c>
      <c r="B187" s="28" t="str">
        <f t="shared" si="7"/>
        <v>HRD</v>
      </c>
    </row>
    <row r="188" spans="1:4" x14ac:dyDescent="0.3">
      <c r="A188" s="67" t="s">
        <v>208</v>
      </c>
      <c r="B188" s="28" t="str">
        <f t="shared" si="7"/>
        <v>ITS</v>
      </c>
    </row>
    <row r="189" spans="1:4" x14ac:dyDescent="0.3">
      <c r="A189" s="67" t="s">
        <v>209</v>
      </c>
      <c r="B189" s="28" t="str">
        <f t="shared" si="7"/>
        <v>SLS</v>
      </c>
    </row>
    <row r="190" spans="1:4" x14ac:dyDescent="0.3">
      <c r="A190" s="67" t="s">
        <v>210</v>
      </c>
      <c r="B190" s="28" t="str">
        <f t="shared" si="7"/>
        <v>ADM</v>
      </c>
    </row>
    <row r="192" spans="1:4" x14ac:dyDescent="0.3">
      <c r="A192" s="22" t="s">
        <v>217</v>
      </c>
    </row>
    <row r="193" spans="1:5" x14ac:dyDescent="0.3">
      <c r="A193" s="3" t="s">
        <v>216</v>
      </c>
    </row>
    <row r="194" spans="1:5" ht="31.2" x14ac:dyDescent="0.3">
      <c r="A194" s="5" t="s">
        <v>218</v>
      </c>
    </row>
    <row r="195" spans="1:5" x14ac:dyDescent="0.3">
      <c r="A195" s="67" t="s">
        <v>219</v>
      </c>
      <c r="B195" s="67" t="s">
        <v>220</v>
      </c>
      <c r="C195" s="67" t="s">
        <v>221</v>
      </c>
    </row>
    <row r="196" spans="1:5" x14ac:dyDescent="0.3">
      <c r="A196" s="67" t="s">
        <v>222</v>
      </c>
      <c r="B196" s="67">
        <v>96</v>
      </c>
      <c r="C196" s="28" t="str">
        <f>IF(B196&gt;60,"Pass","Fail")</f>
        <v>Pass</v>
      </c>
    </row>
    <row r="197" spans="1:5" x14ac:dyDescent="0.3">
      <c r="A197" s="67" t="s">
        <v>223</v>
      </c>
      <c r="B197" s="67">
        <v>43</v>
      </c>
      <c r="C197" s="28" t="str">
        <f t="shared" ref="C197:C200" si="8">IF(B197&gt;60,"Pass","Fail")</f>
        <v>Fail</v>
      </c>
    </row>
    <row r="198" spans="1:5" x14ac:dyDescent="0.3">
      <c r="A198" s="67" t="s">
        <v>224</v>
      </c>
      <c r="B198" s="67">
        <v>20</v>
      </c>
      <c r="C198" s="28" t="str">
        <f t="shared" si="8"/>
        <v>Fail</v>
      </c>
    </row>
    <row r="199" spans="1:5" x14ac:dyDescent="0.3">
      <c r="A199" s="67" t="s">
        <v>225</v>
      </c>
      <c r="B199" s="67">
        <v>77</v>
      </c>
      <c r="C199" s="28" t="str">
        <f t="shared" si="8"/>
        <v>Pass</v>
      </c>
    </row>
    <row r="200" spans="1:5" x14ac:dyDescent="0.3">
      <c r="A200" s="67" t="s">
        <v>226</v>
      </c>
      <c r="B200" s="67">
        <v>76</v>
      </c>
      <c r="C200" s="28" t="str">
        <f t="shared" si="8"/>
        <v>Pass</v>
      </c>
    </row>
    <row r="202" spans="1:5" ht="93.6" x14ac:dyDescent="0.3">
      <c r="A202" s="5" t="s">
        <v>227</v>
      </c>
    </row>
    <row r="203" spans="1:5" x14ac:dyDescent="0.3">
      <c r="A203" s="67" t="s">
        <v>8</v>
      </c>
      <c r="B203" s="67"/>
      <c r="C203" s="67" t="s">
        <v>228</v>
      </c>
      <c r="D203" s="67" t="s">
        <v>229</v>
      </c>
    </row>
    <row r="204" spans="1:5" x14ac:dyDescent="0.3">
      <c r="A204" s="67">
        <v>0</v>
      </c>
      <c r="B204" s="67"/>
      <c r="C204" s="67" t="s">
        <v>230</v>
      </c>
      <c r="D204" s="8" t="str">
        <f>IF(OR(AND(A2&gt;15,A2&lt;30),A2 &gt; 55),"Yes","No")</f>
        <v>No</v>
      </c>
      <c r="E204" s="3" t="str">
        <f ca="1">_xlfn.FORMULATEXT(D204)</f>
        <v>=IF(OR(AND(A2&gt;15,A2&lt;30),A2 &gt; 55),"Yes","No")</v>
      </c>
    </row>
    <row r="205" spans="1:5" x14ac:dyDescent="0.3">
      <c r="A205" s="67">
        <v>15</v>
      </c>
      <c r="B205" s="67"/>
      <c r="C205" s="67" t="s">
        <v>230</v>
      </c>
      <c r="D205" s="8" t="str">
        <f t="shared" ref="D205:D210" si="9">IF(OR(AND(A3&gt;15,A3&lt;30),A3 &gt; 55),"Yes","No")</f>
        <v>No</v>
      </c>
    </row>
    <row r="206" spans="1:5" x14ac:dyDescent="0.3">
      <c r="A206" s="67">
        <v>16</v>
      </c>
      <c r="B206" s="67"/>
      <c r="C206" s="67" t="s">
        <v>231</v>
      </c>
      <c r="D206" s="8" t="str">
        <f t="shared" si="9"/>
        <v>No</v>
      </c>
    </row>
    <row r="207" spans="1:5" x14ac:dyDescent="0.3">
      <c r="A207" s="67">
        <v>29</v>
      </c>
      <c r="B207" s="67"/>
      <c r="C207" s="67" t="s">
        <v>231</v>
      </c>
      <c r="D207" s="8" t="str">
        <f t="shared" si="9"/>
        <v>No</v>
      </c>
    </row>
    <row r="208" spans="1:5" x14ac:dyDescent="0.3">
      <c r="A208" s="67">
        <v>30</v>
      </c>
      <c r="B208" s="67"/>
      <c r="C208" s="67" t="s">
        <v>230</v>
      </c>
      <c r="D208" s="8" t="str">
        <f t="shared" si="9"/>
        <v>Yes</v>
      </c>
    </row>
    <row r="209" spans="1:5" x14ac:dyDescent="0.3">
      <c r="A209" s="67">
        <v>55</v>
      </c>
      <c r="B209" s="67"/>
      <c r="C209" s="67" t="s">
        <v>230</v>
      </c>
      <c r="D209" s="8" t="str">
        <f t="shared" si="9"/>
        <v>No</v>
      </c>
    </row>
    <row r="210" spans="1:5" x14ac:dyDescent="0.3">
      <c r="A210" s="67">
        <v>56</v>
      </c>
      <c r="B210" s="67"/>
      <c r="C210" s="67" t="s">
        <v>231</v>
      </c>
      <c r="D210" s="8" t="str">
        <f t="shared" si="9"/>
        <v>Yes</v>
      </c>
    </row>
    <row r="211" spans="1:5" x14ac:dyDescent="0.3">
      <c r="A211" s="5"/>
    </row>
    <row r="212" spans="1:5" x14ac:dyDescent="0.3">
      <c r="A212" s="22" t="s">
        <v>233</v>
      </c>
    </row>
    <row r="213" spans="1:5" x14ac:dyDescent="0.3">
      <c r="A213" s="5" t="s">
        <v>232</v>
      </c>
    </row>
    <row r="214" spans="1:5" ht="109.2" x14ac:dyDescent="0.3">
      <c r="A214" s="5" t="s">
        <v>234</v>
      </c>
    </row>
    <row r="215" spans="1:5" x14ac:dyDescent="0.3">
      <c r="A215" s="10" t="s">
        <v>235</v>
      </c>
      <c r="B215" s="10" t="s">
        <v>236</v>
      </c>
      <c r="C215" s="10" t="s">
        <v>237</v>
      </c>
      <c r="D215" s="10" t="s">
        <v>238</v>
      </c>
      <c r="E215" s="10" t="s">
        <v>251</v>
      </c>
    </row>
    <row r="216" spans="1:5" x14ac:dyDescent="0.3">
      <c r="A216" s="67" t="s">
        <v>239</v>
      </c>
      <c r="B216" s="67" t="s">
        <v>240</v>
      </c>
      <c r="C216" s="21">
        <v>35594</v>
      </c>
      <c r="D216" s="8">
        <f ca="1">DATEDIF(C216,TODAY(),"Y")</f>
        <v>29</v>
      </c>
      <c r="E216" s="8">
        <f ca="1">DATEDIF(C216,TODAY(),"M")</f>
        <v>348</v>
      </c>
    </row>
    <row r="217" spans="1:5" x14ac:dyDescent="0.3">
      <c r="A217" s="67" t="s">
        <v>241</v>
      </c>
      <c r="B217" s="67" t="s">
        <v>242</v>
      </c>
      <c r="C217" s="21">
        <v>33768</v>
      </c>
      <c r="D217" s="8">
        <f t="shared" ref="D217:D221" ca="1" si="10">DATEDIF(C217,TODAY(),"Y")</f>
        <v>34</v>
      </c>
      <c r="E217" s="8">
        <f t="shared" ref="E217:E221" ca="1" si="11">DATEDIF(C217,TODAY(),"M")</f>
        <v>408</v>
      </c>
    </row>
    <row r="218" spans="1:5" x14ac:dyDescent="0.3">
      <c r="A218" s="67" t="s">
        <v>243</v>
      </c>
      <c r="B218" s="67" t="s">
        <v>244</v>
      </c>
      <c r="C218" s="21">
        <v>31211</v>
      </c>
      <c r="D218" s="8">
        <f t="shared" ca="1" si="10"/>
        <v>41</v>
      </c>
      <c r="E218" s="8">
        <f t="shared" ca="1" si="11"/>
        <v>492</v>
      </c>
    </row>
    <row r="219" spans="1:5" x14ac:dyDescent="0.3">
      <c r="A219" s="67" t="s">
        <v>245</v>
      </c>
      <c r="B219" s="67" t="s">
        <v>246</v>
      </c>
      <c r="C219" s="21">
        <v>38151</v>
      </c>
      <c r="D219" s="8">
        <f t="shared" ca="1" si="10"/>
        <v>22</v>
      </c>
      <c r="E219" s="8">
        <f t="shared" ca="1" si="11"/>
        <v>264</v>
      </c>
    </row>
    <row r="220" spans="1:5" x14ac:dyDescent="0.3">
      <c r="A220" s="67" t="s">
        <v>247</v>
      </c>
      <c r="B220" s="67" t="s">
        <v>248</v>
      </c>
      <c r="C220" s="21">
        <v>25002</v>
      </c>
      <c r="D220" s="8">
        <f t="shared" ca="1" si="10"/>
        <v>58</v>
      </c>
      <c r="E220" s="8">
        <f t="shared" ca="1" si="11"/>
        <v>696</v>
      </c>
    </row>
    <row r="221" spans="1:5" x14ac:dyDescent="0.3">
      <c r="A221" s="67" t="s">
        <v>249</v>
      </c>
      <c r="B221" s="67" t="s">
        <v>250</v>
      </c>
      <c r="C221" s="21">
        <v>29750</v>
      </c>
      <c r="D221" s="8">
        <f t="shared" ca="1" si="10"/>
        <v>45</v>
      </c>
      <c r="E221" s="8">
        <f t="shared" ca="1" si="11"/>
        <v>540</v>
      </c>
    </row>
    <row r="223" spans="1:5" x14ac:dyDescent="0.3">
      <c r="A223" s="22" t="s">
        <v>252</v>
      </c>
    </row>
    <row r="224" spans="1:5" ht="78" x14ac:dyDescent="0.3">
      <c r="A224" s="5" t="s">
        <v>253</v>
      </c>
    </row>
    <row r="225" spans="1:3" ht="109.2" x14ac:dyDescent="0.3">
      <c r="A225" s="5" t="s">
        <v>254</v>
      </c>
    </row>
    <row r="226" spans="1:3" x14ac:dyDescent="0.3">
      <c r="A226" s="13" t="s">
        <v>255</v>
      </c>
      <c r="B226" s="13" t="s">
        <v>256</v>
      </c>
      <c r="C226" s="13" t="s">
        <v>47</v>
      </c>
    </row>
    <row r="227" spans="1:3" x14ac:dyDescent="0.3">
      <c r="A227" s="67" t="s">
        <v>257</v>
      </c>
      <c r="B227" s="67" t="s">
        <v>258</v>
      </c>
      <c r="C227" s="67" t="s">
        <v>89</v>
      </c>
    </row>
    <row r="228" spans="1:3" x14ac:dyDescent="0.3">
      <c r="A228" s="67" t="s">
        <v>259</v>
      </c>
      <c r="B228" s="67" t="s">
        <v>260</v>
      </c>
      <c r="C228" s="67" t="s">
        <v>89</v>
      </c>
    </row>
    <row r="229" spans="1:3" x14ac:dyDescent="0.3">
      <c r="A229" s="67" t="s">
        <v>261</v>
      </c>
      <c r="B229" s="67" t="s">
        <v>262</v>
      </c>
      <c r="C229" s="67" t="s">
        <v>263</v>
      </c>
    </row>
    <row r="230" spans="1:3" x14ac:dyDescent="0.3">
      <c r="A230" s="67" t="s">
        <v>264</v>
      </c>
      <c r="B230" s="67" t="s">
        <v>265</v>
      </c>
      <c r="C230" s="67" t="s">
        <v>89</v>
      </c>
    </row>
    <row r="231" spans="1:3" x14ac:dyDescent="0.3">
      <c r="A231" s="67" t="s">
        <v>266</v>
      </c>
      <c r="B231" s="67" t="s">
        <v>267</v>
      </c>
      <c r="C231" s="67" t="s">
        <v>89</v>
      </c>
    </row>
    <row r="232" spans="1:3" x14ac:dyDescent="0.3">
      <c r="A232" s="67" t="s">
        <v>268</v>
      </c>
      <c r="B232" s="67" t="s">
        <v>269</v>
      </c>
      <c r="C232" s="67" t="s">
        <v>263</v>
      </c>
    </row>
    <row r="233" spans="1:3" x14ac:dyDescent="0.3">
      <c r="A233" s="67" t="s">
        <v>270</v>
      </c>
      <c r="B233" s="67" t="s">
        <v>271</v>
      </c>
      <c r="C233" s="67" t="s">
        <v>89</v>
      </c>
    </row>
    <row r="234" spans="1:3" x14ac:dyDescent="0.3">
      <c r="A234" s="67"/>
      <c r="B234" s="67"/>
      <c r="C234" s="67"/>
    </row>
    <row r="235" spans="1:3" x14ac:dyDescent="0.3">
      <c r="A235" s="18" t="s">
        <v>272</v>
      </c>
      <c r="B235" s="67" t="s">
        <v>261</v>
      </c>
      <c r="C235" s="67"/>
    </row>
    <row r="236" spans="1:3" x14ac:dyDescent="0.3">
      <c r="A236" s="18" t="s">
        <v>47</v>
      </c>
      <c r="B236" s="8" t="str">
        <f>_xlfn.XLOOKUP(B235,A227:A233,C227:C233,0)</f>
        <v>Office equipment</v>
      </c>
      <c r="C236" s="71" t="str">
        <f ca="1">_xlfn.FORMULATEXT(B236)</f>
        <v>=XLOOKUP(B235,A227:A233,C227:C233,0)</v>
      </c>
    </row>
    <row r="237" spans="1:3" x14ac:dyDescent="0.3">
      <c r="C237" s="71"/>
    </row>
    <row r="238" spans="1:3" x14ac:dyDescent="0.3">
      <c r="A238" s="22" t="s">
        <v>274</v>
      </c>
    </row>
    <row r="239" spans="1:3" ht="78" x14ac:dyDescent="0.3">
      <c r="A239" s="5" t="s">
        <v>273</v>
      </c>
    </row>
    <row r="241" spans="1:3" x14ac:dyDescent="0.3">
      <c r="A241" s="13" t="s">
        <v>202</v>
      </c>
      <c r="B241" s="13" t="s">
        <v>275</v>
      </c>
      <c r="C241" s="13" t="s">
        <v>276</v>
      </c>
    </row>
    <row r="242" spans="1:3" x14ac:dyDescent="0.3">
      <c r="A242" s="67" t="s">
        <v>277</v>
      </c>
      <c r="B242" s="67" t="s">
        <v>278</v>
      </c>
      <c r="C242" s="67">
        <v>342</v>
      </c>
    </row>
    <row r="243" spans="1:3" x14ac:dyDescent="0.3">
      <c r="A243" s="67" t="s">
        <v>279</v>
      </c>
      <c r="B243" s="67" t="s">
        <v>280</v>
      </c>
      <c r="C243" s="67">
        <v>128</v>
      </c>
    </row>
    <row r="244" spans="1:3" x14ac:dyDescent="0.3">
      <c r="A244" s="67" t="s">
        <v>281</v>
      </c>
      <c r="B244" s="67" t="s">
        <v>282</v>
      </c>
      <c r="C244" s="67">
        <v>56</v>
      </c>
    </row>
    <row r="245" spans="1:3" x14ac:dyDescent="0.3">
      <c r="A245" s="67" t="s">
        <v>283</v>
      </c>
      <c r="B245" s="67" t="s">
        <v>284</v>
      </c>
      <c r="C245" s="67">
        <v>89</v>
      </c>
    </row>
    <row r="246" spans="1:3" x14ac:dyDescent="0.3">
      <c r="A246" s="67" t="s">
        <v>285</v>
      </c>
      <c r="B246" s="67" t="s">
        <v>286</v>
      </c>
      <c r="C246" s="67">
        <v>203</v>
      </c>
    </row>
    <row r="247" spans="1:3" x14ac:dyDescent="0.3">
      <c r="A247" s="67" t="s">
        <v>287</v>
      </c>
      <c r="B247" s="67" t="s">
        <v>288</v>
      </c>
      <c r="C247" s="67">
        <v>74</v>
      </c>
    </row>
    <row r="248" spans="1:3" x14ac:dyDescent="0.3">
      <c r="A248" s="67" t="s">
        <v>289</v>
      </c>
      <c r="B248" s="67" t="s">
        <v>290</v>
      </c>
      <c r="C248" s="67">
        <v>165</v>
      </c>
    </row>
    <row r="249" spans="1:3" x14ac:dyDescent="0.3">
      <c r="A249" s="67"/>
      <c r="B249" s="67"/>
      <c r="C249" s="67"/>
    </row>
    <row r="250" spans="1:3" x14ac:dyDescent="0.3">
      <c r="A250" s="13" t="s">
        <v>202</v>
      </c>
      <c r="B250" s="13" t="s">
        <v>275</v>
      </c>
      <c r="C250" s="13" t="s">
        <v>291</v>
      </c>
    </row>
    <row r="251" spans="1:3" x14ac:dyDescent="0.3">
      <c r="A251" s="67" t="s">
        <v>283</v>
      </c>
      <c r="B251" s="67" t="s">
        <v>284</v>
      </c>
      <c r="C251" s="8">
        <f>_xlfn.XLOOKUP(A251,A$242:A$248,$C$242:$C$248,0)</f>
        <v>89</v>
      </c>
    </row>
    <row r="252" spans="1:3" x14ac:dyDescent="0.3">
      <c r="A252" s="67" t="s">
        <v>277</v>
      </c>
      <c r="B252" s="67" t="s">
        <v>278</v>
      </c>
      <c r="C252" s="8">
        <f t="shared" ref="C252:C254" si="12">_xlfn.XLOOKUP(A252,A$242:A$248,$C$242:$C$248,0)</f>
        <v>342</v>
      </c>
    </row>
    <row r="253" spans="1:3" x14ac:dyDescent="0.3">
      <c r="A253" s="67" t="s">
        <v>289</v>
      </c>
      <c r="B253" s="67" t="s">
        <v>290</v>
      </c>
      <c r="C253" s="8">
        <f t="shared" si="12"/>
        <v>165</v>
      </c>
    </row>
    <row r="254" spans="1:3" x14ac:dyDescent="0.3">
      <c r="A254" s="67" t="s">
        <v>285</v>
      </c>
      <c r="B254" s="67" t="s">
        <v>286</v>
      </c>
      <c r="C254" s="8">
        <f t="shared" si="12"/>
        <v>203</v>
      </c>
    </row>
    <row r="256" spans="1:3" x14ac:dyDescent="0.3">
      <c r="B256" s="75" t="str">
        <f ca="1">_xlfn.FORMULATEXT(C251)</f>
        <v>=XLOOKUP(A251,A$242:A$248,$C$242:$C$248,0)</v>
      </c>
      <c r="C256" s="75"/>
    </row>
    <row r="258" spans="1:4" x14ac:dyDescent="0.3">
      <c r="A258" s="22" t="s">
        <v>292</v>
      </c>
    </row>
    <row r="259" spans="1:4" x14ac:dyDescent="0.3">
      <c r="A259" s="3" t="s">
        <v>216</v>
      </c>
    </row>
    <row r="260" spans="1:4" ht="62.4" x14ac:dyDescent="0.3">
      <c r="A260" s="5" t="s">
        <v>293</v>
      </c>
    </row>
    <row r="261" spans="1:4" x14ac:dyDescent="0.3">
      <c r="A261" s="13" t="s">
        <v>113</v>
      </c>
      <c r="B261" s="13" t="s">
        <v>294</v>
      </c>
      <c r="C261" s="13" t="s">
        <v>295</v>
      </c>
      <c r="D261" s="13" t="s">
        <v>296</v>
      </c>
    </row>
    <row r="262" spans="1:4" x14ac:dyDescent="0.3">
      <c r="A262" s="67" t="s">
        <v>297</v>
      </c>
      <c r="B262" s="24">
        <v>52000</v>
      </c>
      <c r="C262" s="24">
        <v>50000</v>
      </c>
      <c r="D262" s="29">
        <f>IF(B262&gt;C262,B262*10%,0)</f>
        <v>5200</v>
      </c>
    </row>
    <row r="263" spans="1:4" x14ac:dyDescent="0.3">
      <c r="A263" s="67" t="s">
        <v>298</v>
      </c>
      <c r="B263" s="24">
        <v>48000</v>
      </c>
      <c r="C263" s="24">
        <v>50000</v>
      </c>
      <c r="D263" s="29">
        <f t="shared" ref="D263:D268" si="13">IF(B263&gt;C263,B263*10%,0)</f>
        <v>0</v>
      </c>
    </row>
    <row r="264" spans="1:4" x14ac:dyDescent="0.3">
      <c r="A264" s="67" t="s">
        <v>299</v>
      </c>
      <c r="B264" s="24">
        <v>50000</v>
      </c>
      <c r="C264" s="24">
        <v>50000</v>
      </c>
      <c r="D264" s="29">
        <f t="shared" si="13"/>
        <v>0</v>
      </c>
    </row>
    <row r="265" spans="1:4" x14ac:dyDescent="0.3">
      <c r="A265" s="67" t="s">
        <v>225</v>
      </c>
      <c r="B265" s="24">
        <v>61000</v>
      </c>
      <c r="C265" s="24">
        <v>60000</v>
      </c>
      <c r="D265" s="29">
        <f t="shared" si="13"/>
        <v>6100</v>
      </c>
    </row>
    <row r="266" spans="1:4" x14ac:dyDescent="0.3">
      <c r="A266" s="67" t="s">
        <v>300</v>
      </c>
      <c r="B266" s="24">
        <v>39900</v>
      </c>
      <c r="C266" s="24">
        <v>35000</v>
      </c>
      <c r="D266" s="29">
        <f t="shared" si="13"/>
        <v>3990</v>
      </c>
    </row>
    <row r="267" spans="1:4" x14ac:dyDescent="0.3">
      <c r="A267" s="67" t="s">
        <v>301</v>
      </c>
      <c r="B267" s="24">
        <v>27500</v>
      </c>
      <c r="C267" s="24">
        <v>30000</v>
      </c>
      <c r="D267" s="29">
        <f t="shared" si="13"/>
        <v>0</v>
      </c>
    </row>
    <row r="268" spans="1:4" x14ac:dyDescent="0.3">
      <c r="A268" s="67" t="s">
        <v>302</v>
      </c>
      <c r="B268" s="24">
        <v>74500</v>
      </c>
      <c r="C268" s="24">
        <v>70000</v>
      </c>
      <c r="D268" s="29">
        <f t="shared" si="13"/>
        <v>7450</v>
      </c>
    </row>
    <row r="269" spans="1:4" x14ac:dyDescent="0.3">
      <c r="D269" s="3" t="str">
        <f ca="1">_xlfn.FORMULATEXT(D262)</f>
        <v>=IF(B262&gt;C262,B262*10%,0)</v>
      </c>
    </row>
    <row r="270" spans="1:4" x14ac:dyDescent="0.3">
      <c r="A270" s="22" t="s">
        <v>303</v>
      </c>
    </row>
    <row r="271" spans="1:4" x14ac:dyDescent="0.3">
      <c r="A271" s="20" t="s">
        <v>216</v>
      </c>
    </row>
    <row r="272" spans="1:4" ht="78" x14ac:dyDescent="0.3">
      <c r="A272" s="5" t="s">
        <v>304</v>
      </c>
    </row>
    <row r="274" spans="1:4" x14ac:dyDescent="0.3">
      <c r="A274" s="13" t="s">
        <v>305</v>
      </c>
      <c r="B274" s="13" t="s">
        <v>306</v>
      </c>
      <c r="C274" s="13" t="s">
        <v>295</v>
      </c>
      <c r="D274" s="13" t="s">
        <v>307</v>
      </c>
    </row>
    <row r="275" spans="1:4" x14ac:dyDescent="0.3">
      <c r="A275" s="67" t="s">
        <v>297</v>
      </c>
      <c r="B275" s="24">
        <v>12500</v>
      </c>
      <c r="C275" s="24">
        <v>12000</v>
      </c>
      <c r="D275" s="8" t="str">
        <f>IF(B275&gt;=C275,"On Target","Below Target")</f>
        <v>On Target</v>
      </c>
    </row>
    <row r="276" spans="1:4" x14ac:dyDescent="0.3">
      <c r="A276" s="67" t="s">
        <v>298</v>
      </c>
      <c r="B276" s="24">
        <v>9800</v>
      </c>
      <c r="C276" s="24">
        <v>11000</v>
      </c>
      <c r="D276" s="8" t="str">
        <f t="shared" ref="D276:D281" si="14">IF(B276&gt;=C276,"On Target","Below Target")</f>
        <v>Below Target</v>
      </c>
    </row>
    <row r="277" spans="1:4" x14ac:dyDescent="0.3">
      <c r="A277" s="67" t="s">
        <v>299</v>
      </c>
      <c r="B277" s="24">
        <v>15000</v>
      </c>
      <c r="C277" s="24">
        <v>15000</v>
      </c>
      <c r="D277" s="8" t="str">
        <f t="shared" si="14"/>
        <v>On Target</v>
      </c>
    </row>
    <row r="278" spans="1:4" x14ac:dyDescent="0.3">
      <c r="A278" s="67" t="s">
        <v>225</v>
      </c>
      <c r="B278" s="24">
        <v>7200</v>
      </c>
      <c r="C278" s="24">
        <v>7000</v>
      </c>
      <c r="D278" s="8" t="str">
        <f t="shared" si="14"/>
        <v>On Target</v>
      </c>
    </row>
    <row r="279" spans="1:4" x14ac:dyDescent="0.3">
      <c r="A279" s="67" t="s">
        <v>300</v>
      </c>
      <c r="B279" s="24">
        <v>6400</v>
      </c>
      <c r="C279" s="24">
        <v>8000</v>
      </c>
      <c r="D279" s="8" t="str">
        <f t="shared" si="14"/>
        <v>Below Target</v>
      </c>
    </row>
    <row r="280" spans="1:4" x14ac:dyDescent="0.3">
      <c r="A280" s="67" t="s">
        <v>301</v>
      </c>
      <c r="B280" s="24">
        <v>18300</v>
      </c>
      <c r="C280" s="24">
        <v>17500</v>
      </c>
      <c r="D280" s="8" t="str">
        <f t="shared" si="14"/>
        <v>On Target</v>
      </c>
    </row>
    <row r="281" spans="1:4" x14ac:dyDescent="0.3">
      <c r="A281" s="67" t="s">
        <v>302</v>
      </c>
      <c r="B281" s="24">
        <v>10500</v>
      </c>
      <c r="C281" s="24">
        <v>10000</v>
      </c>
      <c r="D281" s="8" t="str">
        <f t="shared" si="14"/>
        <v>On Target</v>
      </c>
    </row>
    <row r="283" spans="1:4" x14ac:dyDescent="0.3">
      <c r="A283" s="22" t="s">
        <v>308</v>
      </c>
      <c r="D283" s="3" t="str">
        <f ca="1">_xlfn.FORMULATEXT(D275)</f>
        <v>=IF(B275&gt;=C275,"On Target","Below Target")</v>
      </c>
    </row>
    <row r="284" spans="1:4" x14ac:dyDescent="0.3">
      <c r="A284" s="5" t="s">
        <v>318</v>
      </c>
    </row>
    <row r="285" spans="1:4" x14ac:dyDescent="0.3">
      <c r="A285" s="5" t="s">
        <v>319</v>
      </c>
    </row>
    <row r="286" spans="1:4" x14ac:dyDescent="0.3">
      <c r="A286" s="5" t="s">
        <v>320</v>
      </c>
    </row>
    <row r="287" spans="1:4" x14ac:dyDescent="0.3">
      <c r="A287" s="5" t="s">
        <v>321</v>
      </c>
    </row>
    <row r="288" spans="1:4" x14ac:dyDescent="0.3">
      <c r="A288" s="5" t="s">
        <v>322</v>
      </c>
    </row>
    <row r="289" spans="1:5" x14ac:dyDescent="0.3">
      <c r="A289" s="5" t="s">
        <v>309</v>
      </c>
    </row>
    <row r="290" spans="1:5" x14ac:dyDescent="0.3">
      <c r="A290" s="5" t="s">
        <v>323</v>
      </c>
    </row>
    <row r="291" spans="1:5" x14ac:dyDescent="0.3">
      <c r="A291" s="5" t="s">
        <v>324</v>
      </c>
    </row>
    <row r="292" spans="1:5" x14ac:dyDescent="0.3">
      <c r="A292" s="5" t="s">
        <v>325</v>
      </c>
    </row>
    <row r="294" spans="1:5" x14ac:dyDescent="0.3">
      <c r="A294" s="13" t="s">
        <v>310</v>
      </c>
      <c r="B294" s="13" t="s">
        <v>311</v>
      </c>
      <c r="C294" s="13" t="s">
        <v>312</v>
      </c>
      <c r="D294" s="13" t="s">
        <v>313</v>
      </c>
    </row>
    <row r="295" spans="1:5" x14ac:dyDescent="0.3">
      <c r="A295" s="67" t="s">
        <v>314</v>
      </c>
      <c r="B295" s="24">
        <v>120000</v>
      </c>
      <c r="C295" s="24">
        <v>135000</v>
      </c>
      <c r="D295" s="25">
        <f>(C295-B295)/B295</f>
        <v>0.125</v>
      </c>
      <c r="E295" s="3" t="str">
        <f ca="1">_xlfn.FORMULATEXT(D295)</f>
        <v>=(C295-B295)/B295</v>
      </c>
    </row>
    <row r="296" spans="1:5" x14ac:dyDescent="0.3">
      <c r="A296" s="67" t="s">
        <v>315</v>
      </c>
      <c r="B296" s="24">
        <v>145000</v>
      </c>
      <c r="C296" s="24">
        <v>160000</v>
      </c>
      <c r="D296" s="25">
        <f t="shared" ref="D296:D299" si="15">(C296-B296)/B296</f>
        <v>0.10344827586206896</v>
      </c>
    </row>
    <row r="297" spans="1:5" x14ac:dyDescent="0.3">
      <c r="A297" s="67" t="s">
        <v>316</v>
      </c>
      <c r="B297" s="24">
        <v>130000</v>
      </c>
      <c r="C297" s="24">
        <v>125000</v>
      </c>
      <c r="D297" s="25">
        <f t="shared" si="15"/>
        <v>-3.8461538461538464E-2</v>
      </c>
    </row>
    <row r="298" spans="1:5" x14ac:dyDescent="0.3">
      <c r="A298" s="67" t="s">
        <v>317</v>
      </c>
      <c r="B298" s="24">
        <v>155000</v>
      </c>
      <c r="C298" s="24">
        <v>170000</v>
      </c>
      <c r="D298" s="25">
        <f t="shared" si="15"/>
        <v>9.6774193548387094E-2</v>
      </c>
    </row>
    <row r="299" spans="1:5" x14ac:dyDescent="0.3">
      <c r="A299" s="18" t="s">
        <v>26</v>
      </c>
      <c r="B299" s="26">
        <f>SUM(B295:B298)</f>
        <v>550000</v>
      </c>
      <c r="C299" s="26">
        <f>SUM(C295:C298)</f>
        <v>590000</v>
      </c>
      <c r="D299" s="25">
        <f t="shared" si="15"/>
        <v>7.2727272727272724E-2</v>
      </c>
    </row>
    <row r="301" spans="1:5" x14ac:dyDescent="0.3">
      <c r="A301" s="22" t="s">
        <v>326</v>
      </c>
    </row>
    <row r="302" spans="1:5" x14ac:dyDescent="0.3">
      <c r="A302" s="67" t="s">
        <v>346</v>
      </c>
    </row>
    <row r="303" spans="1:5" x14ac:dyDescent="0.3">
      <c r="A303" s="30"/>
    </row>
    <row r="304" spans="1:5" x14ac:dyDescent="0.3">
      <c r="A304" s="30" t="s">
        <v>347</v>
      </c>
    </row>
    <row r="305" spans="1:7" x14ac:dyDescent="0.3">
      <c r="A305" s="30" t="s">
        <v>348</v>
      </c>
    </row>
    <row r="306" spans="1:7" x14ac:dyDescent="0.3">
      <c r="A306" s="20"/>
    </row>
    <row r="307" spans="1:7" x14ac:dyDescent="0.3">
      <c r="A307" s="67" t="s">
        <v>327</v>
      </c>
    </row>
    <row r="308" spans="1:7" x14ac:dyDescent="0.3">
      <c r="A308" s="30"/>
    </row>
    <row r="309" spans="1:7" x14ac:dyDescent="0.3">
      <c r="A309" s="30" t="s">
        <v>349</v>
      </c>
    </row>
    <row r="310" spans="1:7" x14ac:dyDescent="0.3">
      <c r="A310" s="30" t="s">
        <v>350</v>
      </c>
    </row>
    <row r="311" spans="1:7" x14ac:dyDescent="0.3">
      <c r="A311" s="30" t="s">
        <v>351</v>
      </c>
    </row>
    <row r="312" spans="1:7" x14ac:dyDescent="0.3">
      <c r="A312" s="31" t="s">
        <v>328</v>
      </c>
    </row>
    <row r="314" spans="1:7" x14ac:dyDescent="0.3">
      <c r="A314" s="10" t="s">
        <v>329</v>
      </c>
      <c r="B314" s="10" t="s">
        <v>330</v>
      </c>
      <c r="C314" s="10" t="s">
        <v>9</v>
      </c>
      <c r="D314" s="10" t="s">
        <v>8</v>
      </c>
      <c r="E314" s="10" t="s">
        <v>331</v>
      </c>
      <c r="F314" s="10"/>
    </row>
    <row r="315" spans="1:7" x14ac:dyDescent="0.3">
      <c r="A315" s="67" t="s">
        <v>332</v>
      </c>
      <c r="B315" s="67" t="s">
        <v>333</v>
      </c>
      <c r="C315" s="67">
        <v>25.2</v>
      </c>
      <c r="D315" s="67">
        <v>100</v>
      </c>
      <c r="E315" s="67" t="s">
        <v>334</v>
      </c>
      <c r="F315" s="8">
        <f>SUMPRODUCT(D315:D322)</f>
        <v>700</v>
      </c>
      <c r="G315" s="3" t="str">
        <f ca="1">_xlfn.FORMULATEXT(F315)</f>
        <v>=SUMPRODUCT(D315:D322)</v>
      </c>
    </row>
    <row r="316" spans="1:7" x14ac:dyDescent="0.3">
      <c r="A316" s="67" t="s">
        <v>335</v>
      </c>
      <c r="B316" s="67" t="s">
        <v>336</v>
      </c>
      <c r="C316" s="67">
        <v>24.2</v>
      </c>
      <c r="D316" s="67">
        <v>120</v>
      </c>
      <c r="E316" s="67" t="s">
        <v>337</v>
      </c>
      <c r="F316" s="8" cm="1">
        <f t="array" ref="F316">SUMPRODUCT(C315:C322*D315:D322)</f>
        <v>16947</v>
      </c>
    </row>
    <row r="317" spans="1:7" x14ac:dyDescent="0.3">
      <c r="A317" s="67" t="s">
        <v>338</v>
      </c>
      <c r="B317" s="67" t="s">
        <v>339</v>
      </c>
      <c r="C317" s="67">
        <v>23.75</v>
      </c>
      <c r="D317" s="67">
        <v>80</v>
      </c>
      <c r="E317" s="67" t="s">
        <v>340</v>
      </c>
      <c r="F317" s="8">
        <f>F316/F315</f>
        <v>24.21</v>
      </c>
    </row>
    <row r="318" spans="1:7" x14ac:dyDescent="0.3">
      <c r="A318" s="67" t="s">
        <v>341</v>
      </c>
      <c r="B318" s="67" t="s">
        <v>333</v>
      </c>
      <c r="C318" s="67">
        <v>24.1</v>
      </c>
      <c r="D318" s="67">
        <v>150</v>
      </c>
      <c r="E318" s="67"/>
      <c r="F318" s="67"/>
      <c r="G318" s="67"/>
    </row>
    <row r="319" spans="1:7" x14ac:dyDescent="0.3">
      <c r="A319" s="67" t="s">
        <v>342</v>
      </c>
      <c r="B319" s="67" t="s">
        <v>336</v>
      </c>
      <c r="C319" s="67">
        <v>23.9</v>
      </c>
      <c r="D319" s="67">
        <v>60</v>
      </c>
      <c r="E319" s="67"/>
      <c r="F319" s="67"/>
      <c r="G319" s="67"/>
    </row>
    <row r="320" spans="1:7" x14ac:dyDescent="0.3">
      <c r="A320" s="67" t="s">
        <v>343</v>
      </c>
      <c r="B320" s="67" t="s">
        <v>339</v>
      </c>
      <c r="C320" s="67">
        <v>24.8</v>
      </c>
      <c r="D320" s="67">
        <v>40</v>
      </c>
      <c r="E320" s="67"/>
      <c r="F320" s="67"/>
      <c r="G320" s="67"/>
    </row>
    <row r="321" spans="1:7" x14ac:dyDescent="0.3">
      <c r="A321" s="67" t="s">
        <v>344</v>
      </c>
      <c r="B321" s="67" t="s">
        <v>333</v>
      </c>
      <c r="C321" s="67">
        <v>23.6</v>
      </c>
      <c r="D321" s="67">
        <v>90</v>
      </c>
      <c r="E321" s="67"/>
      <c r="F321" s="67"/>
      <c r="G321" s="67"/>
    </row>
    <row r="322" spans="1:7" x14ac:dyDescent="0.3">
      <c r="A322" s="67" t="s">
        <v>345</v>
      </c>
      <c r="B322" s="67" t="s">
        <v>336</v>
      </c>
      <c r="C322" s="67">
        <v>24.3</v>
      </c>
      <c r="D322" s="67">
        <v>60</v>
      </c>
      <c r="E322" s="67"/>
      <c r="F322" s="67"/>
      <c r="G322" s="67"/>
    </row>
    <row r="324" spans="1:7" x14ac:dyDescent="0.3">
      <c r="A324" s="22" t="s">
        <v>352</v>
      </c>
    </row>
    <row r="325" spans="1:7" x14ac:dyDescent="0.3">
      <c r="A325" s="20" t="s">
        <v>353</v>
      </c>
    </row>
    <row r="326" spans="1:7" x14ac:dyDescent="0.3">
      <c r="A326" s="30" t="s">
        <v>365</v>
      </c>
    </row>
    <row r="327" spans="1:7" x14ac:dyDescent="0.3">
      <c r="A327" s="30" t="s">
        <v>366</v>
      </c>
    </row>
    <row r="328" spans="1:7" x14ac:dyDescent="0.3">
      <c r="A328" s="30" t="s">
        <v>367</v>
      </c>
    </row>
    <row r="329" spans="1:7" x14ac:dyDescent="0.3">
      <c r="A329" s="30" t="s">
        <v>368</v>
      </c>
    </row>
    <row r="330" spans="1:7" x14ac:dyDescent="0.3">
      <c r="A330" s="30" t="s">
        <v>369</v>
      </c>
    </row>
    <row r="331" spans="1:7" x14ac:dyDescent="0.3">
      <c r="A331" s="30" t="s">
        <v>370</v>
      </c>
    </row>
    <row r="333" spans="1:7" x14ac:dyDescent="0.3">
      <c r="A333" s="67" t="s">
        <v>354</v>
      </c>
      <c r="B333" s="67"/>
    </row>
    <row r="334" spans="1:7" x14ac:dyDescent="0.3">
      <c r="A334" s="10" t="s">
        <v>235</v>
      </c>
      <c r="B334" s="10" t="s">
        <v>87</v>
      </c>
    </row>
    <row r="335" spans="1:7" x14ac:dyDescent="0.3">
      <c r="A335" s="67">
        <v>1040</v>
      </c>
      <c r="B335" s="67" t="s">
        <v>92</v>
      </c>
    </row>
    <row r="336" spans="1:7" x14ac:dyDescent="0.3">
      <c r="A336" s="67">
        <v>1042</v>
      </c>
      <c r="B336" s="67" t="s">
        <v>116</v>
      </c>
    </row>
    <row r="337" spans="1:3" x14ac:dyDescent="0.3">
      <c r="A337" s="67">
        <v>1051</v>
      </c>
      <c r="B337" s="67" t="s">
        <v>355</v>
      </c>
    </row>
    <row r="338" spans="1:3" x14ac:dyDescent="0.3">
      <c r="A338" s="67">
        <v>1063</v>
      </c>
      <c r="B338" s="67" t="s">
        <v>90</v>
      </c>
    </row>
    <row r="339" spans="1:3" x14ac:dyDescent="0.3">
      <c r="A339" s="67">
        <v>1038</v>
      </c>
      <c r="B339" s="67" t="s">
        <v>356</v>
      </c>
    </row>
    <row r="340" spans="1:3" x14ac:dyDescent="0.3">
      <c r="A340" s="67"/>
      <c r="B340" s="67"/>
    </row>
    <row r="341" spans="1:3" x14ac:dyDescent="0.3">
      <c r="A341" s="67" t="s">
        <v>357</v>
      </c>
      <c r="B341" s="67"/>
    </row>
    <row r="342" spans="1:3" x14ac:dyDescent="0.3">
      <c r="A342" s="10" t="s">
        <v>235</v>
      </c>
      <c r="B342" s="10" t="s">
        <v>358</v>
      </c>
    </row>
    <row r="343" spans="1:3" x14ac:dyDescent="0.3">
      <c r="A343" s="67">
        <v>1042</v>
      </c>
      <c r="B343" s="8" t="str">
        <f>VLOOKUP(A343,$A$335:$B$339,2,0)</f>
        <v>HR</v>
      </c>
      <c r="C343" s="3" t="str">
        <f ca="1">_xlfn.FORMULATEXT(B343)</f>
        <v>=VLOOKUP(A343,$A$335:$B$339,2,0)</v>
      </c>
    </row>
    <row r="344" spans="1:3" x14ac:dyDescent="0.3">
      <c r="A344" s="67">
        <v>1038</v>
      </c>
      <c r="B344" s="8" t="str">
        <f t="shared" ref="B344:B346" si="16">VLOOKUP(A344,$A$335:$B$339,2,0)</f>
        <v>Payroll</v>
      </c>
    </row>
    <row r="345" spans="1:3" x14ac:dyDescent="0.3">
      <c r="A345" s="67">
        <v>1051</v>
      </c>
      <c r="B345" s="8" t="str">
        <f t="shared" si="16"/>
        <v>IT</v>
      </c>
    </row>
    <row r="346" spans="1:3" x14ac:dyDescent="0.3">
      <c r="A346" s="67">
        <v>1040</v>
      </c>
      <c r="B346" s="8" t="str">
        <f t="shared" si="16"/>
        <v>Finance</v>
      </c>
    </row>
    <row r="347" spans="1:3" x14ac:dyDescent="0.3">
      <c r="A347" s="67"/>
    </row>
    <row r="348" spans="1:3" x14ac:dyDescent="0.3">
      <c r="A348" s="22" t="s">
        <v>360</v>
      </c>
    </row>
    <row r="349" spans="1:3" x14ac:dyDescent="0.3">
      <c r="A349" s="20" t="s">
        <v>359</v>
      </c>
    </row>
    <row r="350" spans="1:3" x14ac:dyDescent="0.3">
      <c r="A350" s="30" t="s">
        <v>371</v>
      </c>
    </row>
    <row r="351" spans="1:3" x14ac:dyDescent="0.3">
      <c r="A351" s="30" t="s">
        <v>372</v>
      </c>
    </row>
    <row r="352" spans="1:3" x14ac:dyDescent="0.3">
      <c r="A352" s="30" t="s">
        <v>361</v>
      </c>
    </row>
    <row r="353" spans="1:5" x14ac:dyDescent="0.3">
      <c r="A353" s="30" t="s">
        <v>373</v>
      </c>
    </row>
    <row r="355" spans="1:5" x14ac:dyDescent="0.3">
      <c r="A355" s="10" t="s">
        <v>362</v>
      </c>
      <c r="B355" s="10" t="s">
        <v>314</v>
      </c>
      <c r="C355" s="10" t="s">
        <v>315</v>
      </c>
      <c r="D355" s="10" t="s">
        <v>316</v>
      </c>
      <c r="E355" s="10" t="s">
        <v>317</v>
      </c>
    </row>
    <row r="356" spans="1:5" x14ac:dyDescent="0.3">
      <c r="A356" s="67" t="s">
        <v>363</v>
      </c>
      <c r="B356" s="67">
        <v>85000</v>
      </c>
      <c r="C356" s="67">
        <v>95000</v>
      </c>
      <c r="D356" s="67">
        <v>110000</v>
      </c>
      <c r="E356" s="67">
        <v>120000</v>
      </c>
    </row>
    <row r="357" spans="1:5" x14ac:dyDescent="0.3">
      <c r="C357" s="67"/>
      <c r="D357" s="67"/>
      <c r="E357" s="67"/>
    </row>
    <row r="358" spans="1:5" x14ac:dyDescent="0.3">
      <c r="A358" s="3" t="s">
        <v>310</v>
      </c>
      <c r="B358" s="3" t="s">
        <v>316</v>
      </c>
      <c r="C358" s="8">
        <f>HLOOKUP(B358,A355:E356,2,0)</f>
        <v>110000</v>
      </c>
      <c r="D358" s="67"/>
      <c r="E358" s="67"/>
    </row>
    <row r="359" spans="1:5" ht="26.4" customHeight="1" x14ac:dyDescent="0.3">
      <c r="A359" s="3" t="s">
        <v>364</v>
      </c>
      <c r="C359" s="71" t="str">
        <f ca="1">_xlfn.FORMULATEXT(C358)</f>
        <v>=HLOOKUP(B358,A355:E356,2,0)</v>
      </c>
      <c r="D359" s="67"/>
      <c r="E359" s="67"/>
    </row>
    <row r="360" spans="1:5" x14ac:dyDescent="0.3">
      <c r="C360" s="71"/>
    </row>
    <row r="362" spans="1:5" x14ac:dyDescent="0.3">
      <c r="A362" s="22" t="s">
        <v>374</v>
      </c>
    </row>
    <row r="363" spans="1:5" x14ac:dyDescent="0.3">
      <c r="A363" s="3" t="s">
        <v>375</v>
      </c>
    </row>
    <row r="364" spans="1:5" x14ac:dyDescent="0.3">
      <c r="A364" s="30" t="s">
        <v>396</v>
      </c>
    </row>
    <row r="365" spans="1:5" x14ac:dyDescent="0.3">
      <c r="A365" s="30" t="s">
        <v>397</v>
      </c>
    </row>
    <row r="367" spans="1:5" x14ac:dyDescent="0.3">
      <c r="A367" s="67" t="s">
        <v>398</v>
      </c>
    </row>
    <row r="368" spans="1:5" x14ac:dyDescent="0.3">
      <c r="A368" s="20"/>
    </row>
    <row r="369" spans="1:8" x14ac:dyDescent="0.3">
      <c r="A369" s="67" t="s">
        <v>376</v>
      </c>
    </row>
    <row r="370" spans="1:8" x14ac:dyDescent="0.3">
      <c r="A370" s="30"/>
    </row>
    <row r="371" spans="1:8" x14ac:dyDescent="0.3">
      <c r="A371" s="30" t="s">
        <v>399</v>
      </c>
    </row>
    <row r="372" spans="1:8" x14ac:dyDescent="0.3">
      <c r="A372" s="30" t="s">
        <v>377</v>
      </c>
    </row>
    <row r="373" spans="1:8" x14ac:dyDescent="0.3">
      <c r="A373" s="30" t="s">
        <v>400</v>
      </c>
    </row>
    <row r="375" spans="1:8" x14ac:dyDescent="0.3">
      <c r="A375" s="67" t="s">
        <v>378</v>
      </c>
      <c r="B375" s="67"/>
      <c r="C375" s="67"/>
      <c r="D375" s="67"/>
      <c r="E375" s="67"/>
      <c r="F375" s="67"/>
      <c r="G375" s="67"/>
      <c r="H375" s="67"/>
    </row>
    <row r="376" spans="1:8" x14ac:dyDescent="0.3">
      <c r="A376" s="32" t="s">
        <v>379</v>
      </c>
      <c r="B376" s="67"/>
      <c r="C376" s="67"/>
      <c r="D376" s="67"/>
      <c r="E376" s="67"/>
      <c r="F376" s="67"/>
      <c r="G376" s="67"/>
      <c r="H376" s="67"/>
    </row>
    <row r="377" spans="1:8" x14ac:dyDescent="0.3">
      <c r="A377" s="33" t="s">
        <v>380</v>
      </c>
      <c r="B377" s="67"/>
      <c r="C377" s="67"/>
      <c r="E377" s="67"/>
      <c r="F377" s="67"/>
      <c r="G377" s="33" t="s">
        <v>381</v>
      </c>
      <c r="H377" s="67"/>
    </row>
    <row r="378" spans="1:8" x14ac:dyDescent="0.3">
      <c r="A378" s="10" t="s">
        <v>382</v>
      </c>
      <c r="B378" s="10" t="s">
        <v>383</v>
      </c>
      <c r="C378" s="10" t="s">
        <v>384</v>
      </c>
      <c r="D378" s="10" t="s">
        <v>385</v>
      </c>
      <c r="E378" s="10" t="s">
        <v>386</v>
      </c>
      <c r="F378" s="67"/>
      <c r="G378" s="10" t="s">
        <v>387</v>
      </c>
      <c r="H378" s="10" t="s">
        <v>385</v>
      </c>
    </row>
    <row r="379" spans="1:8" x14ac:dyDescent="0.3">
      <c r="A379" s="67" t="s">
        <v>388</v>
      </c>
      <c r="B379" s="67" t="s">
        <v>389</v>
      </c>
      <c r="C379" s="67">
        <v>0.8</v>
      </c>
      <c r="D379" s="8">
        <f>VLOOKUP(C379,G379:H383,2,1)</f>
        <v>6.5</v>
      </c>
      <c r="E379" s="67">
        <v>5.2</v>
      </c>
      <c r="F379" s="67"/>
      <c r="G379" s="67">
        <v>0</v>
      </c>
      <c r="H379" s="67">
        <v>6.5</v>
      </c>
    </row>
    <row r="380" spans="1:8" x14ac:dyDescent="0.3">
      <c r="A380" s="67" t="s">
        <v>390</v>
      </c>
      <c r="B380" s="67" t="s">
        <v>389</v>
      </c>
      <c r="C380" s="67">
        <v>2.4</v>
      </c>
      <c r="D380" s="8">
        <f t="shared" ref="D380:D383" si="17">VLOOKUP(C380,G380:H384,2,1)</f>
        <v>5.75</v>
      </c>
      <c r="E380" s="67">
        <v>13.8</v>
      </c>
      <c r="F380" s="67"/>
      <c r="G380" s="67">
        <v>1</v>
      </c>
      <c r="H380" s="67">
        <v>5.75</v>
      </c>
    </row>
    <row r="381" spans="1:8" x14ac:dyDescent="0.3">
      <c r="A381" s="67" t="s">
        <v>391</v>
      </c>
      <c r="B381" s="67" t="s">
        <v>392</v>
      </c>
      <c r="C381" s="67">
        <v>6.2</v>
      </c>
      <c r="D381" s="8">
        <f>VLOOKUP(C381,G381:H385,2,1)</f>
        <v>5</v>
      </c>
      <c r="E381" s="67">
        <v>31</v>
      </c>
      <c r="F381" s="67"/>
      <c r="G381" s="67">
        <v>5</v>
      </c>
      <c r="H381" s="67">
        <v>5</v>
      </c>
    </row>
    <row r="382" spans="1:8" x14ac:dyDescent="0.3">
      <c r="A382" s="67" t="s">
        <v>393</v>
      </c>
      <c r="B382" s="67" t="s">
        <v>394</v>
      </c>
      <c r="C382" s="67">
        <v>12</v>
      </c>
      <c r="D382" s="8">
        <f t="shared" si="17"/>
        <v>4.25</v>
      </c>
      <c r="E382" s="67">
        <v>51</v>
      </c>
      <c r="F382" s="67"/>
      <c r="G382" s="67">
        <v>10</v>
      </c>
      <c r="H382" s="67">
        <v>4.25</v>
      </c>
    </row>
    <row r="383" spans="1:8" x14ac:dyDescent="0.3">
      <c r="A383" s="67" t="s">
        <v>395</v>
      </c>
      <c r="B383" s="67" t="s">
        <v>389</v>
      </c>
      <c r="C383" s="67">
        <v>24.5</v>
      </c>
      <c r="D383" s="8">
        <f t="shared" si="17"/>
        <v>3.75</v>
      </c>
      <c r="E383" s="67">
        <v>91.875</v>
      </c>
      <c r="F383" s="67"/>
      <c r="G383" s="67">
        <v>20</v>
      </c>
      <c r="H383" s="67">
        <v>3.75</v>
      </c>
    </row>
    <row r="385" spans="1:4" x14ac:dyDescent="0.3">
      <c r="D385" s="3" t="str">
        <f ca="1">_xlfn.FORMULATEXT(D379)</f>
        <v>=VLOOKUP(C379,G379:H383,2,1)</v>
      </c>
    </row>
    <row r="387" spans="1:4" x14ac:dyDescent="0.3">
      <c r="A387" s="22" t="s">
        <v>401</v>
      </c>
    </row>
    <row r="388" spans="1:4" x14ac:dyDescent="0.3">
      <c r="A388" s="3" t="s">
        <v>353</v>
      </c>
    </row>
    <row r="389" spans="1:4" x14ac:dyDescent="0.3">
      <c r="A389" s="30" t="s">
        <v>431</v>
      </c>
    </row>
    <row r="390" spans="1:4" x14ac:dyDescent="0.3">
      <c r="A390" s="30" t="s">
        <v>432</v>
      </c>
    </row>
    <row r="391" spans="1:4" x14ac:dyDescent="0.3">
      <c r="A391" s="30" t="s">
        <v>433</v>
      </c>
    </row>
    <row r="392" spans="1:4" x14ac:dyDescent="0.3">
      <c r="A392" s="30" t="s">
        <v>434</v>
      </c>
    </row>
    <row r="394" spans="1:4" x14ac:dyDescent="0.3">
      <c r="A394" s="67" t="s">
        <v>435</v>
      </c>
    </row>
    <row r="395" spans="1:4" x14ac:dyDescent="0.3">
      <c r="A395" s="30"/>
    </row>
    <row r="396" spans="1:4" x14ac:dyDescent="0.3">
      <c r="A396" s="30" t="s">
        <v>436</v>
      </c>
    </row>
    <row r="397" spans="1:4" x14ac:dyDescent="0.3">
      <c r="A397" s="30" t="s">
        <v>437</v>
      </c>
    </row>
    <row r="398" spans="1:4" x14ac:dyDescent="0.3">
      <c r="A398" s="30" t="s">
        <v>402</v>
      </c>
    </row>
    <row r="399" spans="1:4" x14ac:dyDescent="0.3">
      <c r="A399" s="30" t="s">
        <v>438</v>
      </c>
    </row>
    <row r="401" spans="1:4" x14ac:dyDescent="0.3">
      <c r="A401" s="13" t="s">
        <v>403</v>
      </c>
      <c r="B401" s="13" t="s">
        <v>404</v>
      </c>
      <c r="C401" s="13" t="s">
        <v>405</v>
      </c>
      <c r="D401" s="13" t="s">
        <v>406</v>
      </c>
    </row>
    <row r="402" spans="1:4" x14ac:dyDescent="0.3">
      <c r="A402" s="67" t="s">
        <v>407</v>
      </c>
      <c r="B402" s="67" t="s">
        <v>408</v>
      </c>
      <c r="C402" s="67" t="s">
        <v>409</v>
      </c>
      <c r="D402" s="67" t="s">
        <v>410</v>
      </c>
    </row>
    <row r="403" spans="1:4" x14ac:dyDescent="0.3">
      <c r="A403" s="67" t="s">
        <v>411</v>
      </c>
      <c r="B403" s="67" t="s">
        <v>412</v>
      </c>
      <c r="C403" s="67" t="s">
        <v>413</v>
      </c>
      <c r="D403" s="67" t="s">
        <v>414</v>
      </c>
    </row>
    <row r="404" spans="1:4" x14ac:dyDescent="0.3">
      <c r="A404" s="67" t="s">
        <v>415</v>
      </c>
      <c r="B404" s="67" t="s">
        <v>416</v>
      </c>
      <c r="C404" s="67" t="s">
        <v>417</v>
      </c>
      <c r="D404" s="67" t="s">
        <v>418</v>
      </c>
    </row>
    <row r="405" spans="1:4" x14ac:dyDescent="0.3">
      <c r="A405" s="67" t="s">
        <v>419</v>
      </c>
      <c r="B405" s="67" t="s">
        <v>420</v>
      </c>
      <c r="C405" s="67" t="s">
        <v>421</v>
      </c>
      <c r="D405" s="67" t="s">
        <v>422</v>
      </c>
    </row>
    <row r="406" spans="1:4" x14ac:dyDescent="0.3">
      <c r="A406" s="67" t="s">
        <v>423</v>
      </c>
      <c r="B406" s="67" t="s">
        <v>424</v>
      </c>
      <c r="C406" s="67" t="s">
        <v>425</v>
      </c>
      <c r="D406" s="67" t="s">
        <v>426</v>
      </c>
    </row>
    <row r="407" spans="1:4" x14ac:dyDescent="0.3">
      <c r="A407" s="67" t="s">
        <v>427</v>
      </c>
      <c r="B407" s="67" t="s">
        <v>428</v>
      </c>
      <c r="C407" s="67" t="s">
        <v>429</v>
      </c>
      <c r="D407" s="67" t="s">
        <v>430</v>
      </c>
    </row>
    <row r="408" spans="1:4" x14ac:dyDescent="0.3">
      <c r="A408" s="67"/>
      <c r="B408" s="67"/>
      <c r="C408" s="67"/>
      <c r="D408" s="67"/>
    </row>
    <row r="409" spans="1:4" x14ac:dyDescent="0.3">
      <c r="A409" s="67" t="s">
        <v>403</v>
      </c>
      <c r="B409" s="67" t="s">
        <v>419</v>
      </c>
      <c r="C409" s="67"/>
      <c r="D409" s="67"/>
    </row>
    <row r="410" spans="1:4" x14ac:dyDescent="0.3">
      <c r="A410" s="67" t="s">
        <v>405</v>
      </c>
      <c r="B410" s="8" t="str">
        <f>VLOOKUP(B409,A402:C407,3,0)</f>
        <v>Denver</v>
      </c>
      <c r="C410" s="67"/>
      <c r="D410" s="67"/>
    </row>
    <row r="411" spans="1:4" x14ac:dyDescent="0.3">
      <c r="B411" s="3" t="str">
        <f ca="1">_xlfn.FORMULATEXT(B410)</f>
        <v>=VLOOKUP(B409,A402:C407,3,0)</v>
      </c>
    </row>
    <row r="413" spans="1:4" x14ac:dyDescent="0.3">
      <c r="A413" s="22" t="s">
        <v>439</v>
      </c>
    </row>
    <row r="414" spans="1:4" ht="78" x14ac:dyDescent="0.3">
      <c r="A414" s="5" t="s">
        <v>440</v>
      </c>
    </row>
    <row r="416" spans="1:4" ht="78" x14ac:dyDescent="0.3">
      <c r="A416" s="5" t="s">
        <v>440</v>
      </c>
    </row>
    <row r="418" spans="1:7" x14ac:dyDescent="0.3">
      <c r="A418" s="10" t="s">
        <v>202</v>
      </c>
      <c r="B418" s="10" t="s">
        <v>46</v>
      </c>
      <c r="C418" s="10" t="s">
        <v>47</v>
      </c>
      <c r="D418" s="10" t="s">
        <v>441</v>
      </c>
    </row>
    <row r="419" spans="1:7" x14ac:dyDescent="0.3">
      <c r="A419" s="67" t="s">
        <v>442</v>
      </c>
      <c r="B419" s="67" t="s">
        <v>443</v>
      </c>
      <c r="C419" s="67" t="s">
        <v>444</v>
      </c>
      <c r="D419" s="67">
        <v>12</v>
      </c>
    </row>
    <row r="420" spans="1:7" x14ac:dyDescent="0.3">
      <c r="A420" s="67" t="s">
        <v>445</v>
      </c>
      <c r="B420" s="67" t="s">
        <v>446</v>
      </c>
      <c r="C420" s="67" t="s">
        <v>447</v>
      </c>
      <c r="D420" s="67">
        <v>18</v>
      </c>
    </row>
    <row r="421" spans="1:7" x14ac:dyDescent="0.3">
      <c r="A421" s="67" t="s">
        <v>448</v>
      </c>
      <c r="B421" s="67" t="s">
        <v>449</v>
      </c>
      <c r="C421" s="67" t="s">
        <v>106</v>
      </c>
      <c r="D421" s="67">
        <v>24</v>
      </c>
    </row>
    <row r="422" spans="1:7" x14ac:dyDescent="0.3">
      <c r="A422" s="67" t="s">
        <v>450</v>
      </c>
      <c r="B422" s="67" t="s">
        <v>60</v>
      </c>
      <c r="C422" s="67" t="s">
        <v>447</v>
      </c>
      <c r="D422" s="67">
        <v>35</v>
      </c>
    </row>
    <row r="424" spans="1:7" x14ac:dyDescent="0.3">
      <c r="B424" s="3" t="s">
        <v>451</v>
      </c>
      <c r="C424" s="3" t="s">
        <v>446</v>
      </c>
    </row>
    <row r="425" spans="1:7" x14ac:dyDescent="0.3">
      <c r="B425" s="3" t="s">
        <v>452</v>
      </c>
      <c r="C425" s="3" t="str">
        <f>_xlfn.XLOOKUP(C424,B419:B422,A419:A422,"Not Found")</f>
        <v>SK-200</v>
      </c>
    </row>
    <row r="427" spans="1:7" x14ac:dyDescent="0.3">
      <c r="C427" s="3" t="str">
        <f ca="1">_xlfn.FORMULATEXT(C425)</f>
        <v>=XLOOKUP(C424,B419:B422,A419:A422,"Not Found")</v>
      </c>
    </row>
    <row r="429" spans="1:7" x14ac:dyDescent="0.3">
      <c r="A429" s="22" t="s">
        <v>453</v>
      </c>
    </row>
    <row r="430" spans="1:7" ht="93.6" x14ac:dyDescent="0.3">
      <c r="A430" s="34" t="s">
        <v>477</v>
      </c>
    </row>
    <row r="431" spans="1:7" ht="93.6" x14ac:dyDescent="0.3">
      <c r="A431" s="34" t="s">
        <v>476</v>
      </c>
    </row>
    <row r="432" spans="1:7" x14ac:dyDescent="0.3">
      <c r="A432" s="10" t="s">
        <v>202</v>
      </c>
      <c r="B432" s="10" t="s">
        <v>46</v>
      </c>
      <c r="C432" s="10" t="s">
        <v>47</v>
      </c>
      <c r="D432" s="10" t="s">
        <v>454</v>
      </c>
      <c r="E432" s="67"/>
      <c r="F432" s="10" t="s">
        <v>455</v>
      </c>
      <c r="G432" s="10" t="s">
        <v>46</v>
      </c>
    </row>
    <row r="433" spans="1:7" x14ac:dyDescent="0.3">
      <c r="A433" s="67" t="s">
        <v>456</v>
      </c>
      <c r="B433" s="67" t="s">
        <v>457</v>
      </c>
      <c r="C433" s="67" t="s">
        <v>458</v>
      </c>
      <c r="D433" s="67">
        <v>6.25</v>
      </c>
      <c r="E433" s="67"/>
      <c r="F433" s="35" t="s">
        <v>456</v>
      </c>
      <c r="G433" s="8" t="str">
        <f t="shared" ref="G433:G439" si="18">_xlfn.XLOOKUP(F433,$A$433:$A$439,$B$433:$B$439,"Discontinued")</f>
        <v>Box Cutter</v>
      </c>
    </row>
    <row r="434" spans="1:7" x14ac:dyDescent="0.3">
      <c r="A434" s="67" t="s">
        <v>459</v>
      </c>
      <c r="B434" s="67" t="s">
        <v>460</v>
      </c>
      <c r="C434" s="67" t="s">
        <v>461</v>
      </c>
      <c r="D434" s="67">
        <v>3.4</v>
      </c>
      <c r="E434" s="67"/>
      <c r="F434" s="35" t="s">
        <v>462</v>
      </c>
      <c r="G434" s="8" t="str">
        <f t="shared" si="18"/>
        <v>Discontinued</v>
      </c>
    </row>
    <row r="435" spans="1:7" x14ac:dyDescent="0.3">
      <c r="A435" s="67" t="s">
        <v>463</v>
      </c>
      <c r="B435" s="67" t="s">
        <v>464</v>
      </c>
      <c r="C435" s="67" t="s">
        <v>461</v>
      </c>
      <c r="D435" s="67">
        <v>19.989999999999998</v>
      </c>
      <c r="E435" s="67"/>
      <c r="F435" s="35" t="s">
        <v>463</v>
      </c>
      <c r="G435" s="8" t="str">
        <f t="shared" si="18"/>
        <v>Bubble Wrap Roll</v>
      </c>
    </row>
    <row r="436" spans="1:7" x14ac:dyDescent="0.3">
      <c r="A436" s="67" t="s">
        <v>465</v>
      </c>
      <c r="B436" s="67" t="s">
        <v>466</v>
      </c>
      <c r="C436" s="67" t="s">
        <v>461</v>
      </c>
      <c r="D436" s="67">
        <v>14.5</v>
      </c>
      <c r="E436" s="67"/>
      <c r="F436" s="35" t="s">
        <v>467</v>
      </c>
      <c r="G436" s="8" t="str">
        <f t="shared" si="18"/>
        <v>Discontinued</v>
      </c>
    </row>
    <row r="437" spans="1:7" x14ac:dyDescent="0.3">
      <c r="A437" s="67" t="s">
        <v>468</v>
      </c>
      <c r="B437" s="67" t="s">
        <v>469</v>
      </c>
      <c r="C437" s="67" t="s">
        <v>470</v>
      </c>
      <c r="D437" s="67">
        <v>8.75</v>
      </c>
      <c r="E437" s="67"/>
      <c r="F437" s="35" t="s">
        <v>468</v>
      </c>
      <c r="G437" s="8" t="str">
        <f t="shared" si="18"/>
        <v>Safety Gloves (L)</v>
      </c>
    </row>
    <row r="438" spans="1:7" x14ac:dyDescent="0.3">
      <c r="A438" s="67" t="s">
        <v>471</v>
      </c>
      <c r="B438" s="67" t="s">
        <v>472</v>
      </c>
      <c r="C438" s="67" t="s">
        <v>447</v>
      </c>
      <c r="D438" s="67">
        <v>27.5</v>
      </c>
      <c r="E438" s="67"/>
      <c r="F438" s="35" t="s">
        <v>473</v>
      </c>
      <c r="G438" s="8" t="str">
        <f t="shared" si="18"/>
        <v>Discontinued</v>
      </c>
    </row>
    <row r="439" spans="1:7" ht="31.2" x14ac:dyDescent="0.3">
      <c r="A439" s="67" t="s">
        <v>474</v>
      </c>
      <c r="B439" s="67" t="s">
        <v>475</v>
      </c>
      <c r="C439" s="67" t="s">
        <v>470</v>
      </c>
      <c r="D439" s="67">
        <v>12</v>
      </c>
      <c r="E439" s="67"/>
      <c r="F439" s="35" t="s">
        <v>474</v>
      </c>
      <c r="G439" s="8" t="str">
        <f t="shared" si="18"/>
        <v>Warehouse Marking Tape</v>
      </c>
    </row>
    <row r="441" spans="1:7" x14ac:dyDescent="0.3">
      <c r="A441" s="22" t="s">
        <v>478</v>
      </c>
      <c r="G441" s="3" t="str">
        <f ca="1">_xlfn.FORMULATEXT(G433)</f>
        <v>=XLOOKUP(F433,$A$433:$A$439,$B$433:$B$439,"Discontinued")</v>
      </c>
    </row>
    <row r="442" spans="1:7" ht="31.2" x14ac:dyDescent="0.3">
      <c r="A442" s="67" t="s">
        <v>479</v>
      </c>
    </row>
    <row r="443" spans="1:7" x14ac:dyDescent="0.3">
      <c r="A443" s="20"/>
    </row>
    <row r="444" spans="1:7" ht="31.2" x14ac:dyDescent="0.3">
      <c r="A444" s="67" t="s">
        <v>505</v>
      </c>
    </row>
    <row r="445" spans="1:7" x14ac:dyDescent="0.3">
      <c r="A445" s="20"/>
    </row>
    <row r="446" spans="1:7" x14ac:dyDescent="0.3">
      <c r="A446" s="67" t="s">
        <v>480</v>
      </c>
    </row>
    <row r="447" spans="1:7" x14ac:dyDescent="0.3">
      <c r="A447" s="20"/>
    </row>
    <row r="448" spans="1:7" x14ac:dyDescent="0.3">
      <c r="A448" s="67" t="s">
        <v>481</v>
      </c>
    </row>
    <row r="450" spans="1:4" x14ac:dyDescent="0.3">
      <c r="A450" s="13" t="s">
        <v>255</v>
      </c>
      <c r="B450" s="13" t="s">
        <v>256</v>
      </c>
      <c r="C450" s="13" t="s">
        <v>47</v>
      </c>
      <c r="D450" s="13" t="s">
        <v>482</v>
      </c>
    </row>
    <row r="451" spans="1:4" x14ac:dyDescent="0.3">
      <c r="A451" s="67" t="s">
        <v>483</v>
      </c>
      <c r="B451" s="67" t="s">
        <v>484</v>
      </c>
      <c r="C451" s="67" t="s">
        <v>461</v>
      </c>
      <c r="D451" s="67">
        <v>22.4</v>
      </c>
    </row>
    <row r="452" spans="1:4" x14ac:dyDescent="0.3">
      <c r="A452" s="67" t="s">
        <v>485</v>
      </c>
      <c r="B452" s="67" t="s">
        <v>486</v>
      </c>
      <c r="C452" s="67" t="s">
        <v>487</v>
      </c>
      <c r="D452" s="67">
        <v>18.5</v>
      </c>
    </row>
    <row r="453" spans="1:4" x14ac:dyDescent="0.3">
      <c r="A453" s="67" t="s">
        <v>488</v>
      </c>
      <c r="B453" s="67" t="s">
        <v>489</v>
      </c>
      <c r="C453" s="67" t="s">
        <v>490</v>
      </c>
      <c r="D453" s="67">
        <v>7.2</v>
      </c>
    </row>
    <row r="454" spans="1:4" x14ac:dyDescent="0.3">
      <c r="A454" s="67" t="s">
        <v>491</v>
      </c>
      <c r="B454" s="67" t="s">
        <v>492</v>
      </c>
      <c r="C454" s="67" t="s">
        <v>487</v>
      </c>
      <c r="D454" s="67">
        <v>9.75</v>
      </c>
    </row>
    <row r="455" spans="1:4" x14ac:dyDescent="0.3">
      <c r="A455" s="67" t="s">
        <v>493</v>
      </c>
      <c r="B455" s="67" t="s">
        <v>494</v>
      </c>
      <c r="C455" s="67" t="s">
        <v>470</v>
      </c>
      <c r="D455" s="67">
        <v>31</v>
      </c>
    </row>
    <row r="456" spans="1:4" x14ac:dyDescent="0.3">
      <c r="A456" s="67" t="s">
        <v>495</v>
      </c>
      <c r="B456" s="67" t="s">
        <v>496</v>
      </c>
      <c r="C456" s="67" t="s">
        <v>487</v>
      </c>
      <c r="D456" s="67">
        <v>12.6</v>
      </c>
    </row>
    <row r="457" spans="1:4" x14ac:dyDescent="0.3">
      <c r="A457" s="67" t="s">
        <v>497</v>
      </c>
      <c r="B457" s="67" t="s">
        <v>498</v>
      </c>
      <c r="C457" s="67" t="s">
        <v>499</v>
      </c>
      <c r="D457" s="67">
        <v>14.25</v>
      </c>
    </row>
    <row r="458" spans="1:4" x14ac:dyDescent="0.3">
      <c r="A458" s="67" t="s">
        <v>500</v>
      </c>
      <c r="B458" s="67" t="s">
        <v>501</v>
      </c>
      <c r="C458" s="67" t="s">
        <v>487</v>
      </c>
      <c r="D458" s="67">
        <v>24.9</v>
      </c>
    </row>
    <row r="459" spans="1:4" x14ac:dyDescent="0.3">
      <c r="A459" s="67"/>
      <c r="B459" s="67"/>
      <c r="C459" s="67"/>
      <c r="D459" s="67"/>
    </row>
    <row r="460" spans="1:4" x14ac:dyDescent="0.3">
      <c r="A460" s="18" t="s">
        <v>502</v>
      </c>
      <c r="B460" s="36" t="s">
        <v>503</v>
      </c>
      <c r="C460" s="67"/>
      <c r="D460" s="67"/>
    </row>
    <row r="461" spans="1:4" x14ac:dyDescent="0.3">
      <c r="A461" s="18" t="s">
        <v>504</v>
      </c>
      <c r="B461" s="8" t="str">
        <f>_xlfn.XLOOKUP("*"&amp;B460&amp;"*",B451:B458,B451:B458,,2)</f>
        <v>Citrus Surface Cleaner</v>
      </c>
      <c r="C461" s="67"/>
      <c r="D461" s="67"/>
    </row>
    <row r="462" spans="1:4" x14ac:dyDescent="0.3">
      <c r="A462" s="18" t="s">
        <v>482</v>
      </c>
      <c r="B462" s="8">
        <f>_xlfn.XLOOKUP("*"&amp;B460&amp;"*",B451:B458,D451:D458,,2)</f>
        <v>12.6</v>
      </c>
      <c r="C462" s="67"/>
      <c r="D462" s="67"/>
    </row>
    <row r="464" spans="1:4" x14ac:dyDescent="0.3">
      <c r="B464" s="3" t="str">
        <f ca="1">_xlfn.FORMULATEXT(B461)</f>
        <v>=XLOOKUP("*"&amp;B460&amp;"*",B451:B458,B451:B458,,2)</v>
      </c>
    </row>
    <row r="465" spans="1:8" x14ac:dyDescent="0.3">
      <c r="A465" s="67"/>
      <c r="B465" s="67"/>
      <c r="C465" s="67"/>
      <c r="D465" s="67"/>
      <c r="E465" s="67"/>
      <c r="F465" s="67"/>
      <c r="G465" s="67"/>
      <c r="H465" s="67"/>
    </row>
    <row r="466" spans="1:8" x14ac:dyDescent="0.3">
      <c r="A466" s="22" t="s">
        <v>506</v>
      </c>
      <c r="B466" s="67"/>
      <c r="C466" s="67"/>
      <c r="D466" s="67"/>
      <c r="E466" s="67"/>
      <c r="F466" s="67"/>
      <c r="G466" s="67"/>
      <c r="H466" s="67"/>
    </row>
    <row r="467" spans="1:8" ht="46.8" x14ac:dyDescent="0.3">
      <c r="A467" s="67" t="s">
        <v>507</v>
      </c>
      <c r="B467" s="67"/>
      <c r="C467" s="67"/>
      <c r="D467" s="67"/>
      <c r="E467" s="67"/>
      <c r="F467" s="67"/>
      <c r="G467" s="67"/>
      <c r="H467" s="67"/>
    </row>
    <row r="468" spans="1:8" ht="62.4" x14ac:dyDescent="0.3">
      <c r="A468" s="67" t="s">
        <v>508</v>
      </c>
      <c r="B468" s="67"/>
      <c r="C468" s="67"/>
      <c r="D468" s="67"/>
      <c r="E468" s="67"/>
      <c r="F468" s="67"/>
      <c r="G468" s="67"/>
      <c r="H468" s="67"/>
    </row>
    <row r="469" spans="1:8" x14ac:dyDescent="0.3">
      <c r="A469" s="67"/>
      <c r="B469" s="67"/>
      <c r="C469" s="67"/>
      <c r="D469" s="67"/>
      <c r="E469" s="67"/>
      <c r="F469" s="67"/>
      <c r="G469" s="67"/>
      <c r="H469" s="67"/>
    </row>
    <row r="470" spans="1:8" x14ac:dyDescent="0.3">
      <c r="A470" s="13" t="s">
        <v>202</v>
      </c>
      <c r="B470" s="13" t="s">
        <v>46</v>
      </c>
      <c r="C470" s="13" t="s">
        <v>509</v>
      </c>
      <c r="D470" s="67"/>
      <c r="E470" s="67"/>
      <c r="F470" s="67"/>
      <c r="G470" s="67"/>
      <c r="H470" s="67"/>
    </row>
    <row r="471" spans="1:8" x14ac:dyDescent="0.3">
      <c r="A471" s="67" t="s">
        <v>510</v>
      </c>
      <c r="B471" s="67" t="s">
        <v>511</v>
      </c>
      <c r="C471" s="67">
        <v>120</v>
      </c>
      <c r="D471" s="67"/>
      <c r="E471" s="67"/>
      <c r="F471" s="67"/>
      <c r="G471" s="67"/>
      <c r="H471" s="67"/>
    </row>
    <row r="472" spans="1:8" x14ac:dyDescent="0.3">
      <c r="A472" s="67" t="s">
        <v>512</v>
      </c>
      <c r="B472" s="67" t="s">
        <v>513</v>
      </c>
      <c r="C472" s="67">
        <v>50</v>
      </c>
      <c r="D472" s="67"/>
      <c r="E472" s="67"/>
      <c r="F472" s="67"/>
      <c r="G472" s="67"/>
      <c r="H472" s="67"/>
    </row>
    <row r="473" spans="1:8" x14ac:dyDescent="0.3">
      <c r="A473" s="67" t="s">
        <v>514</v>
      </c>
      <c r="B473" s="67" t="s">
        <v>515</v>
      </c>
      <c r="C473" s="67">
        <v>0</v>
      </c>
      <c r="D473" s="67"/>
      <c r="E473" s="67"/>
      <c r="F473" s="67"/>
      <c r="G473" s="67"/>
      <c r="H473" s="67"/>
    </row>
    <row r="474" spans="1:8" x14ac:dyDescent="0.3">
      <c r="A474" s="67"/>
      <c r="B474" s="67"/>
      <c r="C474" s="67"/>
      <c r="D474" s="67"/>
      <c r="E474" s="67"/>
      <c r="F474" s="67"/>
      <c r="G474" s="67"/>
      <c r="H474" s="67"/>
    </row>
    <row r="475" spans="1:8" x14ac:dyDescent="0.3">
      <c r="A475" s="67" t="s">
        <v>516</v>
      </c>
      <c r="B475" s="37" t="s">
        <v>517</v>
      </c>
      <c r="C475" s="67"/>
      <c r="D475" s="67"/>
      <c r="E475" s="67"/>
      <c r="F475" s="67"/>
      <c r="G475" s="67"/>
      <c r="H475" s="67"/>
    </row>
    <row r="476" spans="1:8" x14ac:dyDescent="0.3">
      <c r="A476" s="38" t="s">
        <v>518</v>
      </c>
      <c r="B476" s="8" t="str">
        <f>_xlfn.IFNA(VLOOKUP(B475,A471:C473,2,0),"Not Found")</f>
        <v>Not Found</v>
      </c>
      <c r="C476" s="71" t="str">
        <f ca="1">_xlfn.FORMULATEXT(B476)</f>
        <v>=IFNA(VLOOKUP(B475,A471:C473,2,0),"Not Found")</v>
      </c>
      <c r="D476" s="71"/>
      <c r="E476" s="71"/>
      <c r="F476" s="67"/>
      <c r="G476" s="67"/>
      <c r="H476" s="67"/>
    </row>
    <row r="477" spans="1:8" x14ac:dyDescent="0.3">
      <c r="A477" s="38" t="s">
        <v>519</v>
      </c>
      <c r="B477" s="8" t="str">
        <f>_xlfn.XLOOKUP(B475,A471:A473,B471:B473,"Not Found")</f>
        <v>Not Found</v>
      </c>
      <c r="C477" s="71" t="str">
        <f ca="1">_xlfn.FORMULATEXT(B477)</f>
        <v>=XLOOKUP(B475,A471:A473,B471:B473,"Not Found")</v>
      </c>
      <c r="D477" s="71"/>
      <c r="E477" s="71"/>
      <c r="F477" s="67"/>
      <c r="G477" s="67"/>
      <c r="H477" s="67"/>
    </row>
    <row r="478" spans="1:8" x14ac:dyDescent="0.3">
      <c r="A478" s="67"/>
      <c r="B478" s="67"/>
      <c r="C478" s="67"/>
      <c r="D478" s="67"/>
      <c r="E478" s="67"/>
      <c r="F478" s="67"/>
      <c r="G478" s="67"/>
      <c r="H478" s="67"/>
    </row>
    <row r="479" spans="1:8" x14ac:dyDescent="0.3">
      <c r="A479" s="67"/>
      <c r="B479" s="67"/>
      <c r="C479" s="67"/>
      <c r="D479" s="67"/>
      <c r="E479" s="67"/>
      <c r="F479" s="67"/>
      <c r="G479" s="67"/>
      <c r="H479" s="67"/>
    </row>
    <row r="480" spans="1:8" x14ac:dyDescent="0.3">
      <c r="A480" s="22" t="s">
        <v>545</v>
      </c>
      <c r="B480" s="67"/>
      <c r="C480" s="67"/>
      <c r="D480" s="67"/>
      <c r="E480" s="67"/>
      <c r="F480" s="67"/>
      <c r="G480" s="67"/>
      <c r="H480" s="67"/>
    </row>
    <row r="481" spans="1:8" ht="140.4" x14ac:dyDescent="0.3">
      <c r="A481" s="67" t="s">
        <v>546</v>
      </c>
      <c r="B481" s="67"/>
      <c r="C481" s="67"/>
      <c r="D481" s="67"/>
      <c r="E481" s="67"/>
      <c r="F481" s="67"/>
      <c r="G481" s="67"/>
      <c r="H481" s="67"/>
    </row>
    <row r="482" spans="1:8" ht="62.4" x14ac:dyDescent="0.3">
      <c r="A482" s="67" t="s">
        <v>547</v>
      </c>
      <c r="B482" s="67"/>
      <c r="C482" s="67"/>
      <c r="D482" s="67"/>
      <c r="E482" s="67"/>
      <c r="F482" s="67"/>
      <c r="G482" s="67"/>
      <c r="H482" s="67"/>
    </row>
    <row r="483" spans="1:8" x14ac:dyDescent="0.3">
      <c r="A483" s="67"/>
      <c r="B483" s="67"/>
      <c r="C483" s="67"/>
      <c r="D483" s="67"/>
      <c r="E483" s="67"/>
      <c r="F483" s="67"/>
      <c r="G483" s="67"/>
      <c r="H483" s="67"/>
    </row>
    <row r="484" spans="1:8" x14ac:dyDescent="0.3">
      <c r="A484" s="13" t="s">
        <v>520</v>
      </c>
      <c r="B484" s="13" t="s">
        <v>113</v>
      </c>
      <c r="C484" s="13" t="s">
        <v>521</v>
      </c>
      <c r="D484" s="13" t="s">
        <v>522</v>
      </c>
      <c r="E484" s="67"/>
      <c r="F484" s="67"/>
      <c r="G484" s="67"/>
      <c r="H484" s="67"/>
    </row>
    <row r="485" spans="1:8" x14ac:dyDescent="0.3">
      <c r="A485" s="67" t="s">
        <v>523</v>
      </c>
      <c r="B485" s="67" t="s">
        <v>524</v>
      </c>
      <c r="C485" s="67" t="s">
        <v>525</v>
      </c>
      <c r="D485" s="67" t="s">
        <v>526</v>
      </c>
      <c r="E485" s="67"/>
      <c r="F485" s="67"/>
      <c r="G485" s="67"/>
      <c r="H485" s="67"/>
    </row>
    <row r="486" spans="1:8" x14ac:dyDescent="0.3">
      <c r="A486" s="67" t="s">
        <v>523</v>
      </c>
      <c r="B486" s="67" t="s">
        <v>117</v>
      </c>
      <c r="C486" s="67" t="s">
        <v>525</v>
      </c>
      <c r="D486" s="67" t="s">
        <v>526</v>
      </c>
      <c r="E486" s="67"/>
      <c r="F486" s="67"/>
      <c r="G486" s="67"/>
      <c r="H486" s="67"/>
    </row>
    <row r="487" spans="1:8" x14ac:dyDescent="0.3">
      <c r="A487" s="67" t="s">
        <v>527</v>
      </c>
      <c r="B487" s="67" t="s">
        <v>528</v>
      </c>
      <c r="C487" s="67" t="s">
        <v>356</v>
      </c>
      <c r="D487" s="67" t="s">
        <v>529</v>
      </c>
      <c r="E487" s="67"/>
      <c r="F487" s="67"/>
      <c r="G487" s="67"/>
      <c r="H487" s="67"/>
    </row>
    <row r="488" spans="1:8" x14ac:dyDescent="0.3">
      <c r="A488" s="67" t="s">
        <v>527</v>
      </c>
      <c r="B488" s="67" t="s">
        <v>530</v>
      </c>
      <c r="C488" s="67" t="s">
        <v>356</v>
      </c>
      <c r="D488" s="67" t="s">
        <v>529</v>
      </c>
      <c r="E488" s="67"/>
      <c r="F488" s="67"/>
      <c r="G488" s="67"/>
      <c r="H488" s="67"/>
    </row>
    <row r="489" spans="1:8" x14ac:dyDescent="0.3">
      <c r="A489" s="67" t="s">
        <v>124</v>
      </c>
      <c r="B489" s="67" t="s">
        <v>531</v>
      </c>
      <c r="C489" s="67" t="s">
        <v>532</v>
      </c>
      <c r="D489" s="67" t="s">
        <v>526</v>
      </c>
      <c r="E489" s="67"/>
      <c r="F489" s="67"/>
      <c r="G489" s="67"/>
      <c r="H489" s="67"/>
    </row>
    <row r="490" spans="1:8" x14ac:dyDescent="0.3">
      <c r="A490" s="67" t="s">
        <v>124</v>
      </c>
      <c r="B490" s="67" t="s">
        <v>533</v>
      </c>
      <c r="C490" s="67" t="s">
        <v>532</v>
      </c>
      <c r="D490" s="67" t="s">
        <v>526</v>
      </c>
      <c r="E490" s="67"/>
      <c r="F490" s="67"/>
      <c r="G490" s="67"/>
      <c r="H490" s="67"/>
    </row>
    <row r="491" spans="1:8" x14ac:dyDescent="0.3">
      <c r="A491" s="67" t="s">
        <v>534</v>
      </c>
      <c r="B491" s="67" t="s">
        <v>535</v>
      </c>
      <c r="C491" s="67" t="s">
        <v>536</v>
      </c>
      <c r="D491" s="67" t="s">
        <v>537</v>
      </c>
      <c r="E491" s="67"/>
    </row>
    <row r="492" spans="1:8" x14ac:dyDescent="0.3">
      <c r="A492" s="67" t="s">
        <v>534</v>
      </c>
      <c r="B492" s="67" t="s">
        <v>538</v>
      </c>
      <c r="C492" s="67" t="s">
        <v>536</v>
      </c>
      <c r="D492" s="67" t="s">
        <v>537</v>
      </c>
      <c r="E492" s="67"/>
    </row>
    <row r="493" spans="1:8" x14ac:dyDescent="0.3">
      <c r="A493" s="67"/>
      <c r="B493" s="67"/>
      <c r="C493" s="67"/>
      <c r="D493" s="67"/>
      <c r="E493" s="67"/>
    </row>
    <row r="494" spans="1:8" x14ac:dyDescent="0.3">
      <c r="A494" s="39" t="s">
        <v>539</v>
      </c>
      <c r="B494" s="67"/>
      <c r="C494" s="67"/>
      <c r="D494" s="67"/>
      <c r="E494" s="67"/>
    </row>
    <row r="495" spans="1:8" x14ac:dyDescent="0.3">
      <c r="A495" s="39" t="s">
        <v>113</v>
      </c>
      <c r="B495" s="39" t="s">
        <v>540</v>
      </c>
      <c r="C495" s="39" t="s">
        <v>541</v>
      </c>
      <c r="D495" s="67"/>
      <c r="E495" s="67"/>
    </row>
    <row r="496" spans="1:8" x14ac:dyDescent="0.3">
      <c r="A496" s="67" t="s">
        <v>530</v>
      </c>
      <c r="B496" s="39" t="str">
        <f>INDEX(A485:A492,MATCH(A496,B485:B492,0))</f>
        <v>Thomas Nguyen</v>
      </c>
      <c r="C496" s="67" t="s">
        <v>542</v>
      </c>
      <c r="D496" s="67"/>
      <c r="E496" s="67"/>
    </row>
    <row r="497" spans="1:5" x14ac:dyDescent="0.3">
      <c r="A497" s="67" t="s">
        <v>535</v>
      </c>
      <c r="B497" s="39" t="str">
        <f>INDEX(A485:A492,MATCH(A497,B485:B492,0))</f>
        <v>David Brown</v>
      </c>
      <c r="C497" s="67" t="s">
        <v>543</v>
      </c>
      <c r="D497" s="67"/>
      <c r="E497" s="67"/>
    </row>
    <row r="498" spans="1:5" x14ac:dyDescent="0.3">
      <c r="A498" s="67" t="s">
        <v>117</v>
      </c>
      <c r="B498" s="39" t="str">
        <f>INDEX(A485:A492,MATCH(A498,B485:B492,0))</f>
        <v>Maria Gomez</v>
      </c>
      <c r="C498" s="67" t="s">
        <v>544</v>
      </c>
      <c r="D498" s="67"/>
      <c r="E498" s="67"/>
    </row>
    <row r="499" spans="1:5" x14ac:dyDescent="0.3">
      <c r="A499" s="67"/>
      <c r="B499" s="67"/>
      <c r="C499" s="67"/>
      <c r="D499" s="67"/>
      <c r="E499" s="67"/>
    </row>
    <row r="500" spans="1:5" x14ac:dyDescent="0.3">
      <c r="A500" s="67"/>
      <c r="B500" s="71" t="str">
        <f ca="1">_xlfn.FORMULATEXT(B496)</f>
        <v>=INDEX(A485:A492,MATCH(A496,B485:B492,0))</v>
      </c>
      <c r="C500" s="71"/>
      <c r="D500" s="67"/>
      <c r="E500" s="67"/>
    </row>
    <row r="501" spans="1:5" x14ac:dyDescent="0.3">
      <c r="A501" s="67"/>
      <c r="B501" s="67"/>
      <c r="C501" s="67"/>
      <c r="D501" s="67"/>
      <c r="E501" s="67"/>
    </row>
    <row r="502" spans="1:5" x14ac:dyDescent="0.3">
      <c r="A502" s="22" t="s">
        <v>548</v>
      </c>
      <c r="B502" s="67"/>
      <c r="C502" s="67"/>
      <c r="D502" s="67"/>
      <c r="E502" s="67"/>
    </row>
    <row r="503" spans="1:5" ht="31.2" x14ac:dyDescent="0.3">
      <c r="A503" s="67" t="s">
        <v>549</v>
      </c>
      <c r="B503" s="67"/>
      <c r="C503" s="67"/>
      <c r="D503" s="67"/>
      <c r="E503" s="67"/>
    </row>
    <row r="504" spans="1:5" x14ac:dyDescent="0.3">
      <c r="A504" s="67"/>
      <c r="B504" s="67"/>
      <c r="C504" s="67"/>
      <c r="D504" s="67"/>
      <c r="E504" s="67"/>
    </row>
    <row r="505" spans="1:5" x14ac:dyDescent="0.3">
      <c r="A505" s="67" t="s">
        <v>550</v>
      </c>
    </row>
    <row r="506" spans="1:5" x14ac:dyDescent="0.3">
      <c r="A506" s="67"/>
    </row>
    <row r="507" spans="1:5" x14ac:dyDescent="0.3">
      <c r="A507" s="67" t="s">
        <v>591</v>
      </c>
    </row>
    <row r="508" spans="1:5" x14ac:dyDescent="0.3">
      <c r="A508" s="67" t="s">
        <v>592</v>
      </c>
    </row>
    <row r="509" spans="1:5" x14ac:dyDescent="0.3">
      <c r="A509" s="67"/>
    </row>
    <row r="510" spans="1:5" x14ac:dyDescent="0.3">
      <c r="A510" s="67" t="s">
        <v>593</v>
      </c>
    </row>
    <row r="511" spans="1:5" x14ac:dyDescent="0.3">
      <c r="A511" s="67"/>
    </row>
    <row r="512" spans="1:5" x14ac:dyDescent="0.3">
      <c r="A512" s="67" t="s">
        <v>551</v>
      </c>
    </row>
    <row r="513" spans="1:4" x14ac:dyDescent="0.3">
      <c r="A513" s="67"/>
    </row>
    <row r="514" spans="1:4" x14ac:dyDescent="0.3">
      <c r="A514" s="67" t="s">
        <v>594</v>
      </c>
    </row>
    <row r="515" spans="1:4" x14ac:dyDescent="0.3">
      <c r="A515" s="67" t="s">
        <v>595</v>
      </c>
    </row>
    <row r="516" spans="1:4" x14ac:dyDescent="0.3">
      <c r="A516" s="67"/>
    </row>
    <row r="517" spans="1:4" x14ac:dyDescent="0.3">
      <c r="A517" s="67" t="s">
        <v>552</v>
      </c>
    </row>
    <row r="519" spans="1:4" x14ac:dyDescent="0.3">
      <c r="A519" s="10" t="s">
        <v>553</v>
      </c>
      <c r="B519" s="10" t="s">
        <v>403</v>
      </c>
      <c r="C519" s="10" t="s">
        <v>404</v>
      </c>
      <c r="D519" s="10" t="s">
        <v>554</v>
      </c>
    </row>
    <row r="520" spans="1:4" s="67" customFormat="1" x14ac:dyDescent="0.3">
      <c r="A520" s="67" t="s">
        <v>555</v>
      </c>
      <c r="B520" s="67" t="s">
        <v>556</v>
      </c>
      <c r="C520" s="67" t="s">
        <v>557</v>
      </c>
      <c r="D520" s="67" t="s">
        <v>558</v>
      </c>
    </row>
    <row r="521" spans="1:4" s="67" customFormat="1" x14ac:dyDescent="0.3">
      <c r="A521" s="67" t="s">
        <v>559</v>
      </c>
      <c r="B521" s="67" t="s">
        <v>560</v>
      </c>
      <c r="C521" s="67" t="s">
        <v>561</v>
      </c>
      <c r="D521" s="67" t="s">
        <v>558</v>
      </c>
    </row>
    <row r="522" spans="1:4" s="67" customFormat="1" x14ac:dyDescent="0.3">
      <c r="A522" s="67" t="s">
        <v>562</v>
      </c>
      <c r="B522" s="67" t="s">
        <v>563</v>
      </c>
      <c r="C522" s="67" t="s">
        <v>564</v>
      </c>
      <c r="D522" s="67" t="s">
        <v>565</v>
      </c>
    </row>
    <row r="523" spans="1:4" s="67" customFormat="1" x14ac:dyDescent="0.3">
      <c r="A523" s="67" t="s">
        <v>566</v>
      </c>
      <c r="B523" s="67" t="s">
        <v>567</v>
      </c>
      <c r="C523" s="67" t="s">
        <v>568</v>
      </c>
      <c r="D523" s="67" t="s">
        <v>569</v>
      </c>
    </row>
    <row r="524" spans="1:4" s="67" customFormat="1" x14ac:dyDescent="0.3">
      <c r="A524" s="67" t="s">
        <v>570</v>
      </c>
      <c r="B524" s="67" t="s">
        <v>571</v>
      </c>
      <c r="C524" s="67" t="s">
        <v>572</v>
      </c>
      <c r="D524" s="67" t="s">
        <v>565</v>
      </c>
    </row>
    <row r="525" spans="1:4" s="67" customFormat="1" x14ac:dyDescent="0.3">
      <c r="A525" s="67" t="s">
        <v>573</v>
      </c>
      <c r="B525" s="67" t="s">
        <v>574</v>
      </c>
      <c r="C525" s="67" t="s">
        <v>575</v>
      </c>
      <c r="D525" s="67" t="s">
        <v>558</v>
      </c>
    </row>
    <row r="526" spans="1:4" s="67" customFormat="1" x14ac:dyDescent="0.3">
      <c r="A526" s="67" t="s">
        <v>576</v>
      </c>
      <c r="B526" s="67" t="s">
        <v>577</v>
      </c>
      <c r="C526" s="67" t="s">
        <v>578</v>
      </c>
      <c r="D526" s="67" t="s">
        <v>569</v>
      </c>
    </row>
    <row r="527" spans="1:4" s="67" customFormat="1" x14ac:dyDescent="0.3">
      <c r="A527" s="67" t="s">
        <v>579</v>
      </c>
      <c r="B527" s="67" t="s">
        <v>580</v>
      </c>
      <c r="C527" s="67" t="s">
        <v>581</v>
      </c>
      <c r="D527" s="67" t="s">
        <v>565</v>
      </c>
    </row>
    <row r="528" spans="1:4" x14ac:dyDescent="0.3">
      <c r="A528" s="67"/>
      <c r="B528" s="67"/>
      <c r="C528" s="67"/>
      <c r="D528" s="67"/>
    </row>
    <row r="529" spans="1:5" x14ac:dyDescent="0.3">
      <c r="A529" s="40" t="s">
        <v>582</v>
      </c>
      <c r="B529" s="40" t="s">
        <v>403</v>
      </c>
      <c r="C529" s="40" t="s">
        <v>583</v>
      </c>
      <c r="D529" s="40" t="s">
        <v>584</v>
      </c>
    </row>
    <row r="530" spans="1:5" s="67" customFormat="1" x14ac:dyDescent="0.3">
      <c r="A530" s="67" t="s">
        <v>585</v>
      </c>
      <c r="B530" s="67" t="s">
        <v>577</v>
      </c>
      <c r="C530" s="8" t="str">
        <f>INDEX(A520:A527,MATCH(B530,B520:B527,0))</f>
        <v>ingrid.larsen@northwind.com</v>
      </c>
      <c r="D530" s="67" t="s">
        <v>586</v>
      </c>
    </row>
    <row r="531" spans="1:5" s="67" customFormat="1" ht="31.2" x14ac:dyDescent="0.3">
      <c r="A531" s="67" t="s">
        <v>587</v>
      </c>
      <c r="B531" s="67" t="s">
        <v>560</v>
      </c>
      <c r="C531" s="8" t="str">
        <f t="shared" ref="C531:C532" si="19">INDEX(A521:A528,MATCH(B531,B521:B528,0))</f>
        <v>bianca.chen@northwind.com</v>
      </c>
      <c r="D531" s="67" t="s">
        <v>588</v>
      </c>
    </row>
    <row r="532" spans="1:5" s="67" customFormat="1" ht="31.2" x14ac:dyDescent="0.3">
      <c r="A532" s="67" t="s">
        <v>589</v>
      </c>
      <c r="B532" s="67" t="s">
        <v>563</v>
      </c>
      <c r="C532" s="8" t="str">
        <f t="shared" si="19"/>
        <v>diego.souza@northwind.com</v>
      </c>
      <c r="D532" s="67" t="s">
        <v>590</v>
      </c>
    </row>
    <row r="533" spans="1:5" s="67" customFormat="1" x14ac:dyDescent="0.3"/>
    <row r="534" spans="1:5" s="67" customFormat="1" ht="31.2" x14ac:dyDescent="0.3">
      <c r="C534" s="67" t="str">
        <f ca="1">_xlfn.FORMULATEXT(C530)</f>
        <v>=INDEX(A520:A527,MATCH(B530,B520:B527,0))</v>
      </c>
    </row>
    <row r="536" spans="1:5" x14ac:dyDescent="0.3">
      <c r="A536" s="22" t="s">
        <v>596</v>
      </c>
    </row>
    <row r="537" spans="1:5" ht="140.4" x14ac:dyDescent="0.3">
      <c r="A537" s="5" t="s">
        <v>597</v>
      </c>
    </row>
    <row r="539" spans="1:5" x14ac:dyDescent="0.3">
      <c r="A539" s="10" t="s">
        <v>383</v>
      </c>
      <c r="B539" s="10" t="s">
        <v>598</v>
      </c>
      <c r="C539" s="10" t="s">
        <v>599</v>
      </c>
      <c r="D539" s="10" t="s">
        <v>600</v>
      </c>
      <c r="E539" s="10" t="s">
        <v>601</v>
      </c>
    </row>
    <row r="540" spans="1:5" x14ac:dyDescent="0.3">
      <c r="A540" s="67" t="s">
        <v>602</v>
      </c>
      <c r="B540" s="67">
        <v>5</v>
      </c>
      <c r="C540" s="67">
        <v>7</v>
      </c>
      <c r="D540" s="67">
        <v>10</v>
      </c>
      <c r="E540" s="67">
        <v>14</v>
      </c>
    </row>
    <row r="541" spans="1:5" x14ac:dyDescent="0.3">
      <c r="A541" s="67" t="s">
        <v>603</v>
      </c>
      <c r="B541" s="67">
        <v>9</v>
      </c>
      <c r="C541" s="67">
        <v>12</v>
      </c>
      <c r="D541" s="67">
        <v>16</v>
      </c>
      <c r="E541" s="67">
        <v>22</v>
      </c>
    </row>
    <row r="542" spans="1:5" x14ac:dyDescent="0.3">
      <c r="A542" s="67" t="s">
        <v>604</v>
      </c>
      <c r="B542" s="67">
        <v>14</v>
      </c>
      <c r="C542" s="67">
        <v>19</v>
      </c>
      <c r="D542" s="67">
        <v>28</v>
      </c>
      <c r="E542" s="67">
        <v>40</v>
      </c>
    </row>
    <row r="543" spans="1:5" x14ac:dyDescent="0.3">
      <c r="A543" s="67" t="s">
        <v>605</v>
      </c>
      <c r="B543" s="67">
        <v>24</v>
      </c>
      <c r="C543" s="67">
        <v>33</v>
      </c>
      <c r="D543" s="67">
        <v>48</v>
      </c>
      <c r="E543" s="67">
        <v>68</v>
      </c>
    </row>
    <row r="544" spans="1:5" x14ac:dyDescent="0.3">
      <c r="A544" s="67" t="s">
        <v>606</v>
      </c>
      <c r="B544" s="67">
        <v>30</v>
      </c>
      <c r="C544" s="67">
        <v>42</v>
      </c>
      <c r="D544" s="67">
        <v>60</v>
      </c>
      <c r="E544" s="67">
        <v>85</v>
      </c>
    </row>
    <row r="545" spans="1:5" x14ac:dyDescent="0.3">
      <c r="A545" s="67"/>
      <c r="B545" s="67"/>
      <c r="C545" s="67"/>
      <c r="D545" s="67"/>
      <c r="E545" s="67"/>
    </row>
    <row r="546" spans="1:5" x14ac:dyDescent="0.3">
      <c r="A546" s="67" t="s">
        <v>607</v>
      </c>
      <c r="B546" s="67" t="s">
        <v>604</v>
      </c>
      <c r="C546" s="67"/>
      <c r="D546" s="67"/>
      <c r="E546" s="67"/>
    </row>
    <row r="547" spans="1:5" x14ac:dyDescent="0.3">
      <c r="A547" s="67" t="s">
        <v>608</v>
      </c>
      <c r="B547" s="67" t="s">
        <v>600</v>
      </c>
      <c r="C547" s="67"/>
      <c r="D547" s="67"/>
      <c r="E547" s="67"/>
    </row>
    <row r="548" spans="1:5" x14ac:dyDescent="0.3">
      <c r="A548" s="67" t="s">
        <v>609</v>
      </c>
      <c r="B548" s="8">
        <f>INDEX(B540:E544,MATCH(B546,A540:A544),MATCH(B547,B539:E539,0))</f>
        <v>28</v>
      </c>
      <c r="C548" s="67"/>
      <c r="D548" s="67"/>
      <c r="E548" s="67"/>
    </row>
    <row r="550" spans="1:5" x14ac:dyDescent="0.3">
      <c r="B550" s="74" t="str">
        <f ca="1">_xlfn.FORMULATEXT(B548)</f>
        <v>=INDEX(B540:E544,MATCH(B546,A540:A544),MATCH(B547,B539:E539,0))</v>
      </c>
    </row>
    <row r="551" spans="1:5" x14ac:dyDescent="0.3">
      <c r="B551" s="74"/>
    </row>
    <row r="552" spans="1:5" x14ac:dyDescent="0.3">
      <c r="B552" s="74"/>
    </row>
    <row r="553" spans="1:5" x14ac:dyDescent="0.3">
      <c r="A553" s="22" t="s">
        <v>610</v>
      </c>
    </row>
    <row r="554" spans="1:5" ht="124.8" x14ac:dyDescent="0.3">
      <c r="A554" s="5" t="s">
        <v>611</v>
      </c>
    </row>
    <row r="555" spans="1:5" ht="187.2" x14ac:dyDescent="0.3">
      <c r="A555" s="5" t="s">
        <v>612</v>
      </c>
    </row>
    <row r="556" spans="1:5" s="5" customFormat="1" x14ac:dyDescent="0.3"/>
    <row r="557" spans="1:5" s="5" customFormat="1" x14ac:dyDescent="0.3">
      <c r="A557" s="5" t="s">
        <v>46</v>
      </c>
      <c r="B557" s="5" t="s">
        <v>314</v>
      </c>
      <c r="C557" s="5" t="s">
        <v>315</v>
      </c>
      <c r="D557" s="5" t="s">
        <v>316</v>
      </c>
      <c r="E557" s="5" t="s">
        <v>317</v>
      </c>
    </row>
    <row r="558" spans="1:5" s="5" customFormat="1" x14ac:dyDescent="0.3">
      <c r="A558" s="5" t="s">
        <v>614</v>
      </c>
      <c r="B558" s="5">
        <v>25.99</v>
      </c>
      <c r="C558" s="5">
        <v>27.49</v>
      </c>
      <c r="D558" s="5">
        <v>26.99</v>
      </c>
      <c r="E558" s="5">
        <v>28.99</v>
      </c>
    </row>
    <row r="559" spans="1:5" s="5" customFormat="1" x14ac:dyDescent="0.3">
      <c r="A559" s="5" t="s">
        <v>615</v>
      </c>
      <c r="B559" s="5">
        <v>34.5</v>
      </c>
      <c r="C559" s="5">
        <v>35</v>
      </c>
      <c r="D559" s="5">
        <v>36.25</v>
      </c>
      <c r="E559" s="5">
        <v>37</v>
      </c>
    </row>
    <row r="560" spans="1:5" s="5" customFormat="1" x14ac:dyDescent="0.3">
      <c r="A560" s="5" t="s">
        <v>617</v>
      </c>
      <c r="B560" s="5">
        <v>18.75</v>
      </c>
      <c r="C560" s="5">
        <v>19.25</v>
      </c>
      <c r="D560" s="5">
        <v>19</v>
      </c>
      <c r="E560" s="5">
        <v>20.5</v>
      </c>
    </row>
    <row r="561" spans="1:5" s="5" customFormat="1" x14ac:dyDescent="0.3">
      <c r="A561" s="5" t="s">
        <v>618</v>
      </c>
      <c r="B561" s="5">
        <v>42</v>
      </c>
      <c r="C561" s="5">
        <v>43.5</v>
      </c>
      <c r="D561" s="5">
        <v>44</v>
      </c>
      <c r="E561" s="5">
        <v>45.25</v>
      </c>
    </row>
    <row r="562" spans="1:5" s="5" customFormat="1" x14ac:dyDescent="0.3">
      <c r="A562" s="5" t="s">
        <v>620</v>
      </c>
      <c r="B562" s="5">
        <v>56.99</v>
      </c>
      <c r="C562" s="5">
        <v>58.49</v>
      </c>
      <c r="D562" s="5">
        <v>59.99</v>
      </c>
      <c r="E562" s="5">
        <v>61.5</v>
      </c>
    </row>
    <row r="563" spans="1:5" s="5" customFormat="1" x14ac:dyDescent="0.3">
      <c r="A563" s="5" t="s">
        <v>621</v>
      </c>
      <c r="B563" s="5">
        <v>12.25</v>
      </c>
      <c r="C563" s="5">
        <v>12.75</v>
      </c>
      <c r="D563" s="5">
        <v>13</v>
      </c>
      <c r="E563" s="5">
        <v>13.5</v>
      </c>
    </row>
    <row r="564" spans="1:5" s="5" customFormat="1" x14ac:dyDescent="0.3">
      <c r="A564" s="5" t="s">
        <v>622</v>
      </c>
      <c r="B564" s="5">
        <v>89.99</v>
      </c>
      <c r="C564" s="5">
        <v>92.5</v>
      </c>
      <c r="D564" s="5">
        <v>94</v>
      </c>
      <c r="E564" s="5">
        <v>96.75</v>
      </c>
    </row>
    <row r="565" spans="1:5" s="5" customFormat="1" x14ac:dyDescent="0.3"/>
    <row r="566" spans="1:5" s="5" customFormat="1" x14ac:dyDescent="0.3"/>
    <row r="567" spans="1:5" s="5" customFormat="1" x14ac:dyDescent="0.3">
      <c r="A567" s="5" t="s">
        <v>613</v>
      </c>
    </row>
    <row r="568" spans="1:5" s="5" customFormat="1" x14ac:dyDescent="0.3">
      <c r="A568" s="5" t="s">
        <v>623</v>
      </c>
      <c r="B568" s="5" t="s">
        <v>618</v>
      </c>
    </row>
    <row r="569" spans="1:5" s="5" customFormat="1" x14ac:dyDescent="0.3">
      <c r="A569" s="5" t="s">
        <v>616</v>
      </c>
      <c r="B569" s="5" t="s">
        <v>316</v>
      </c>
    </row>
    <row r="570" spans="1:5" s="5" customFormat="1" x14ac:dyDescent="0.3"/>
    <row r="571" spans="1:5" s="5" customFormat="1" x14ac:dyDescent="0.3">
      <c r="A571" s="5" t="s">
        <v>619</v>
      </c>
      <c r="B571" s="8" cm="1">
        <f t="array" ref="B571">_xlfn.XLOOKUP(B568,A558:A564,_xlfn.XLOOKUP(B569,B557:E557,B558:E564))</f>
        <v>44</v>
      </c>
    </row>
    <row r="572" spans="1:5" s="5" customFormat="1" ht="13.8" customHeight="1" x14ac:dyDescent="0.3">
      <c r="B572" s="71" t="str">
        <f ca="1">_xlfn.FORMULATEXT(B571)</f>
        <v>=XLOOKUP(B568,A558:A564,XLOOKUP(B569,B557:E557,B558:E564))</v>
      </c>
    </row>
    <row r="573" spans="1:5" s="5" customFormat="1" x14ac:dyDescent="0.3">
      <c r="B573" s="71"/>
    </row>
    <row r="574" spans="1:5" s="5" customFormat="1" x14ac:dyDescent="0.3">
      <c r="B574" s="71"/>
    </row>
    <row r="575" spans="1:5" s="5" customFormat="1" x14ac:dyDescent="0.3">
      <c r="B575" s="65"/>
    </row>
    <row r="576" spans="1:5" s="5" customFormat="1" x14ac:dyDescent="0.3">
      <c r="A576" s="22" t="s">
        <v>624</v>
      </c>
      <c r="B576" s="41"/>
    </row>
    <row r="577" spans="1:7" s="5" customFormat="1" ht="62.4" x14ac:dyDescent="0.3">
      <c r="A577" s="5" t="s">
        <v>625</v>
      </c>
    </row>
    <row r="578" spans="1:7" s="5" customFormat="1" ht="93.6" x14ac:dyDescent="0.3">
      <c r="A578" s="5" t="s">
        <v>626</v>
      </c>
    </row>
    <row r="579" spans="1:7" s="5" customFormat="1" x14ac:dyDescent="0.3"/>
    <row r="580" spans="1:7" s="5" customFormat="1" x14ac:dyDescent="0.3">
      <c r="A580" s="42" t="s">
        <v>627</v>
      </c>
    </row>
    <row r="581" spans="1:7" s="5" customFormat="1" ht="31.2" x14ac:dyDescent="0.3">
      <c r="B581" s="42" t="s">
        <v>628</v>
      </c>
    </row>
    <row r="582" spans="1:7" s="5" customFormat="1" x14ac:dyDescent="0.3">
      <c r="A582" s="42" t="s">
        <v>403</v>
      </c>
      <c r="B582" s="43">
        <v>1004</v>
      </c>
    </row>
    <row r="583" spans="1:7" s="5" customFormat="1" x14ac:dyDescent="0.3">
      <c r="C583" s="42" t="s">
        <v>629</v>
      </c>
      <c r="D583" s="42" t="s">
        <v>553</v>
      </c>
      <c r="E583" s="42" t="s">
        <v>630</v>
      </c>
    </row>
    <row r="584" spans="1:7" s="5" customFormat="1" x14ac:dyDescent="0.3">
      <c r="C584" s="5" t="str" cm="1">
        <f t="array" ref="C584:E584">_xlfn.XLOOKUP(B582,A588:A594,B588:D594)</f>
        <v>Keira Lewis</v>
      </c>
      <c r="D584" s="5" t="str">
        <v>keira.lewis@northwind.com</v>
      </c>
      <c r="E584" s="5" t="str">
        <v>(555) 010-1188</v>
      </c>
    </row>
    <row r="585" spans="1:7" s="5" customFormat="1" x14ac:dyDescent="0.3">
      <c r="C585" s="5" t="str">
        <f ca="1">_xlfn.FORMULATEXT(C584)</f>
        <v>=XLOOKUP(B582,A588:A594,B588:D594)</v>
      </c>
    </row>
    <row r="586" spans="1:7" s="5" customFormat="1" x14ac:dyDescent="0.3">
      <c r="A586" s="42" t="s">
        <v>634</v>
      </c>
    </row>
    <row r="587" spans="1:7" s="5" customFormat="1" x14ac:dyDescent="0.3">
      <c r="A587" s="42" t="s">
        <v>403</v>
      </c>
      <c r="B587" s="42" t="s">
        <v>629</v>
      </c>
      <c r="C587" s="42" t="s">
        <v>553</v>
      </c>
      <c r="D587" s="42" t="s">
        <v>630</v>
      </c>
      <c r="E587" s="42" t="s">
        <v>554</v>
      </c>
    </row>
    <row r="588" spans="1:7" s="5" customFormat="1" x14ac:dyDescent="0.3">
      <c r="A588" s="5">
        <v>1001</v>
      </c>
      <c r="B588" s="5" t="s">
        <v>524</v>
      </c>
      <c r="C588" s="5" t="s">
        <v>635</v>
      </c>
      <c r="D588" s="5" t="s">
        <v>636</v>
      </c>
      <c r="E588" s="5" t="s">
        <v>637</v>
      </c>
    </row>
    <row r="589" spans="1:7" s="5" customFormat="1" x14ac:dyDescent="0.3">
      <c r="A589" s="5">
        <v>1002</v>
      </c>
      <c r="B589" s="5" t="s">
        <v>530</v>
      </c>
      <c r="C589" s="5" t="s">
        <v>638</v>
      </c>
      <c r="D589" s="5" t="s">
        <v>639</v>
      </c>
      <c r="E589" s="5" t="s">
        <v>637</v>
      </c>
    </row>
    <row r="590" spans="1:7" s="5" customFormat="1" x14ac:dyDescent="0.3">
      <c r="A590" s="5">
        <v>1003</v>
      </c>
      <c r="B590" s="5" t="s">
        <v>640</v>
      </c>
      <c r="C590" s="5" t="s">
        <v>641</v>
      </c>
      <c r="D590" s="5" t="s">
        <v>642</v>
      </c>
      <c r="E590" s="5" t="s">
        <v>643</v>
      </c>
    </row>
    <row r="591" spans="1:7" s="5" customFormat="1" x14ac:dyDescent="0.3">
      <c r="A591" s="5">
        <v>1004</v>
      </c>
      <c r="B591" s="5" t="s">
        <v>631</v>
      </c>
      <c r="C591" s="5" t="s">
        <v>632</v>
      </c>
      <c r="D591" s="5" t="s">
        <v>633</v>
      </c>
      <c r="E591" s="5" t="s">
        <v>643</v>
      </c>
    </row>
    <row r="592" spans="1:7" x14ac:dyDescent="0.3">
      <c r="A592" s="5">
        <v>1005</v>
      </c>
      <c r="B592" s="5" t="s">
        <v>531</v>
      </c>
      <c r="C592" s="5" t="s">
        <v>644</v>
      </c>
      <c r="D592" s="5" t="s">
        <v>645</v>
      </c>
      <c r="E592" s="5" t="s">
        <v>637</v>
      </c>
      <c r="F592" s="5"/>
      <c r="G592" s="5"/>
    </row>
    <row r="593" spans="1:7" x14ac:dyDescent="0.3">
      <c r="A593" s="5">
        <v>1006</v>
      </c>
      <c r="B593" s="5" t="s">
        <v>646</v>
      </c>
      <c r="C593" s="5" t="s">
        <v>647</v>
      </c>
      <c r="D593" s="5" t="s">
        <v>648</v>
      </c>
      <c r="E593" s="5" t="s">
        <v>637</v>
      </c>
      <c r="F593" s="5"/>
      <c r="G593" s="5"/>
    </row>
    <row r="594" spans="1:7" x14ac:dyDescent="0.3">
      <c r="A594" s="5">
        <v>1007</v>
      </c>
      <c r="B594" s="5" t="s">
        <v>120</v>
      </c>
      <c r="C594" s="5" t="s">
        <v>649</v>
      </c>
      <c r="D594" s="5" t="s">
        <v>650</v>
      </c>
      <c r="E594" s="5" t="s">
        <v>569</v>
      </c>
      <c r="F594" s="5"/>
      <c r="G594" s="5"/>
    </row>
    <row r="595" spans="1:7" x14ac:dyDescent="0.3">
      <c r="A595" s="5"/>
      <c r="B595" s="5"/>
      <c r="C595" s="5"/>
      <c r="D595" s="5"/>
      <c r="E595" s="5"/>
      <c r="F595" s="5"/>
      <c r="G595" s="5"/>
    </row>
    <row r="596" spans="1:7" x14ac:dyDescent="0.3">
      <c r="A596" s="22" t="s">
        <v>651</v>
      </c>
      <c r="B596" s="5"/>
      <c r="C596" s="5"/>
      <c r="D596" s="5"/>
      <c r="E596" s="5"/>
      <c r="F596" s="5"/>
      <c r="G596" s="5"/>
    </row>
    <row r="597" spans="1:7" ht="93.6" x14ac:dyDescent="0.3">
      <c r="A597" s="5" t="s">
        <v>652</v>
      </c>
      <c r="B597" s="5"/>
      <c r="C597" s="5"/>
      <c r="D597" s="5"/>
      <c r="E597" s="5"/>
      <c r="F597" s="5"/>
      <c r="G597" s="5"/>
    </row>
    <row r="598" spans="1:7" ht="234" x14ac:dyDescent="0.3">
      <c r="A598" s="5" t="s">
        <v>653</v>
      </c>
      <c r="B598" s="5"/>
      <c r="C598" s="5"/>
      <c r="D598" s="5"/>
      <c r="E598" s="5"/>
      <c r="F598" s="5"/>
      <c r="G598" s="5"/>
    </row>
    <row r="599" spans="1:7" s="5" customFormat="1" x14ac:dyDescent="0.3"/>
    <row r="600" spans="1:7" s="5" customFormat="1" x14ac:dyDescent="0.3">
      <c r="A600" s="5" t="s">
        <v>654</v>
      </c>
      <c r="B600" s="44" t="s">
        <v>8</v>
      </c>
      <c r="C600" s="44" t="s">
        <v>655</v>
      </c>
      <c r="D600" s="44" t="s">
        <v>656</v>
      </c>
    </row>
    <row r="601" spans="1:7" s="5" customFormat="1" x14ac:dyDescent="0.3">
      <c r="A601" s="5" t="s">
        <v>657</v>
      </c>
      <c r="B601" s="5">
        <v>12</v>
      </c>
      <c r="C601" s="5">
        <v>3200</v>
      </c>
      <c r="D601" s="5" t="b">
        <f>AND(B601&gt;=$B$608,C601&gt;=$D$608)</f>
        <v>1</v>
      </c>
    </row>
    <row r="602" spans="1:7" s="5" customFormat="1" x14ac:dyDescent="0.3">
      <c r="A602" s="5" t="s">
        <v>658</v>
      </c>
      <c r="B602" s="5">
        <v>9</v>
      </c>
      <c r="C602" s="5">
        <v>2800</v>
      </c>
      <c r="D602" s="5" t="b">
        <f t="shared" ref="D602:D606" si="20">AND(B602&gt;=$B$608,C602&gt;=$D$608)</f>
        <v>0</v>
      </c>
    </row>
    <row r="603" spans="1:7" s="5" customFormat="1" x14ac:dyDescent="0.3">
      <c r="A603" s="5" t="s">
        <v>659</v>
      </c>
      <c r="B603" s="5">
        <v>10</v>
      </c>
      <c r="C603" s="5">
        <v>2400</v>
      </c>
      <c r="D603" s="5" t="b">
        <f t="shared" si="20"/>
        <v>0</v>
      </c>
    </row>
    <row r="604" spans="1:7" s="5" customFormat="1" x14ac:dyDescent="0.3">
      <c r="A604" s="5" t="s">
        <v>660</v>
      </c>
      <c r="B604" s="5">
        <v>15</v>
      </c>
      <c r="C604" s="5">
        <v>5100</v>
      </c>
      <c r="D604" s="5" t="b">
        <f t="shared" si="20"/>
        <v>1</v>
      </c>
    </row>
    <row r="605" spans="1:7" s="5" customFormat="1" x14ac:dyDescent="0.3">
      <c r="A605" s="5" t="s">
        <v>661</v>
      </c>
      <c r="B605" s="5">
        <v>7</v>
      </c>
      <c r="C605" s="5">
        <v>1800</v>
      </c>
      <c r="D605" s="5" t="b">
        <f t="shared" si="20"/>
        <v>0</v>
      </c>
    </row>
    <row r="606" spans="1:7" s="5" customFormat="1" x14ac:dyDescent="0.3">
      <c r="A606" s="5" t="s">
        <v>662</v>
      </c>
      <c r="B606" s="5">
        <v>11</v>
      </c>
      <c r="C606" s="5">
        <v>2500</v>
      </c>
      <c r="D606" s="5" t="b">
        <f t="shared" si="20"/>
        <v>1</v>
      </c>
    </row>
    <row r="607" spans="1:7" s="5" customFormat="1" x14ac:dyDescent="0.3"/>
    <row r="608" spans="1:7" s="5" customFormat="1" x14ac:dyDescent="0.3">
      <c r="A608" s="45" t="s">
        <v>663</v>
      </c>
      <c r="B608" s="44">
        <v>10</v>
      </c>
      <c r="C608" s="45" t="s">
        <v>664</v>
      </c>
      <c r="D608" s="44">
        <v>2500</v>
      </c>
    </row>
    <row r="609" spans="1:6" s="5" customFormat="1" x14ac:dyDescent="0.3"/>
    <row r="610" spans="1:6" s="5" customFormat="1" x14ac:dyDescent="0.3">
      <c r="C610" s="5" t="str">
        <f ca="1">_xlfn.FORMULATEXT(D601)</f>
        <v>=AND(B601&gt;=$B$608,C601&gt;=$D$608)</v>
      </c>
    </row>
    <row r="612" spans="1:6" x14ac:dyDescent="0.3">
      <c r="A612" s="22" t="s">
        <v>665</v>
      </c>
    </row>
    <row r="613" spans="1:6" ht="171.6" x14ac:dyDescent="0.3">
      <c r="A613" s="5" t="s">
        <v>666</v>
      </c>
    </row>
    <row r="615" spans="1:6" x14ac:dyDescent="0.3">
      <c r="A615" s="10" t="s">
        <v>104</v>
      </c>
      <c r="B615" s="10" t="s">
        <v>667</v>
      </c>
      <c r="C615" s="10" t="s">
        <v>305</v>
      </c>
      <c r="D615" s="10" t="s">
        <v>105</v>
      </c>
      <c r="E615" s="10" t="s">
        <v>668</v>
      </c>
      <c r="F615" s="46" t="s">
        <v>669</v>
      </c>
    </row>
    <row r="616" spans="1:6" x14ac:dyDescent="0.3">
      <c r="A616" s="67">
        <v>10021</v>
      </c>
      <c r="B616" s="67" t="s">
        <v>637</v>
      </c>
      <c r="C616" s="67" t="s">
        <v>670</v>
      </c>
      <c r="D616" s="21">
        <v>45932</v>
      </c>
      <c r="E616" s="67">
        <v>8500</v>
      </c>
      <c r="F616" s="8" t="str">
        <f>IF(OR(E616&gt;10000,B616="VIP"),"High","Standard")</f>
        <v>Standard</v>
      </c>
    </row>
    <row r="617" spans="1:6" x14ac:dyDescent="0.3">
      <c r="A617" s="67">
        <v>10022</v>
      </c>
      <c r="B617" s="67" t="s">
        <v>671</v>
      </c>
      <c r="C617" s="67" t="s">
        <v>672</v>
      </c>
      <c r="D617" s="21">
        <v>45933</v>
      </c>
      <c r="E617" s="67">
        <v>4200</v>
      </c>
      <c r="F617" s="8" t="str">
        <f t="shared" ref="F617:F625" si="21">IF(OR(E617&gt;10000,B617="VIP"),"High","Standard")</f>
        <v>High</v>
      </c>
    </row>
    <row r="618" spans="1:6" x14ac:dyDescent="0.3">
      <c r="A618" s="67">
        <v>10023</v>
      </c>
      <c r="B618" s="67" t="s">
        <v>637</v>
      </c>
      <c r="C618" s="67" t="s">
        <v>673</v>
      </c>
      <c r="D618" s="21">
        <v>45933</v>
      </c>
      <c r="E618" s="67">
        <v>12500</v>
      </c>
      <c r="F618" s="8" t="str">
        <f t="shared" si="21"/>
        <v>High</v>
      </c>
    </row>
    <row r="619" spans="1:6" x14ac:dyDescent="0.3">
      <c r="A619" s="67">
        <v>10024</v>
      </c>
      <c r="B619" s="67" t="s">
        <v>637</v>
      </c>
      <c r="C619" s="67" t="s">
        <v>674</v>
      </c>
      <c r="D619" s="21">
        <v>45934</v>
      </c>
      <c r="E619" s="67">
        <v>9999</v>
      </c>
      <c r="F619" s="8" t="str">
        <f t="shared" si="21"/>
        <v>Standard</v>
      </c>
    </row>
    <row r="620" spans="1:6" x14ac:dyDescent="0.3">
      <c r="A620" s="67">
        <v>10025</v>
      </c>
      <c r="B620" s="67" t="s">
        <v>671</v>
      </c>
      <c r="C620" s="67" t="s">
        <v>670</v>
      </c>
      <c r="D620" s="21">
        <v>45934</v>
      </c>
      <c r="E620" s="67">
        <v>10000</v>
      </c>
      <c r="F620" s="8" t="str">
        <f t="shared" si="21"/>
        <v>High</v>
      </c>
    </row>
    <row r="621" spans="1:6" x14ac:dyDescent="0.3">
      <c r="A621" s="67">
        <v>10026</v>
      </c>
      <c r="B621" s="67" t="s">
        <v>637</v>
      </c>
      <c r="C621" s="67" t="s">
        <v>672</v>
      </c>
      <c r="D621" s="21">
        <v>45935</v>
      </c>
      <c r="E621" s="67">
        <v>10001</v>
      </c>
      <c r="F621" s="8" t="str">
        <f t="shared" si="21"/>
        <v>High</v>
      </c>
    </row>
    <row r="622" spans="1:6" x14ac:dyDescent="0.3">
      <c r="A622" s="67">
        <v>10027</v>
      </c>
      <c r="B622" s="67" t="s">
        <v>637</v>
      </c>
      <c r="C622" s="67" t="s">
        <v>673</v>
      </c>
      <c r="D622" s="21">
        <v>45936</v>
      </c>
      <c r="E622" s="67">
        <v>17500</v>
      </c>
      <c r="F622" s="8" t="str">
        <f t="shared" si="21"/>
        <v>High</v>
      </c>
    </row>
    <row r="623" spans="1:6" x14ac:dyDescent="0.3">
      <c r="A623" s="67">
        <v>10028</v>
      </c>
      <c r="B623" s="67" t="s">
        <v>637</v>
      </c>
      <c r="C623" s="67" t="s">
        <v>674</v>
      </c>
      <c r="D623" s="21">
        <v>45936</v>
      </c>
      <c r="E623" s="67">
        <v>5400</v>
      </c>
      <c r="F623" s="8" t="str">
        <f t="shared" si="21"/>
        <v>Standard</v>
      </c>
    </row>
    <row r="624" spans="1:6" x14ac:dyDescent="0.3">
      <c r="A624" s="67">
        <v>10029</v>
      </c>
      <c r="B624" s="67" t="s">
        <v>671</v>
      </c>
      <c r="C624" s="67" t="s">
        <v>672</v>
      </c>
      <c r="D624" s="21">
        <v>45937</v>
      </c>
      <c r="E624" s="67">
        <v>15000</v>
      </c>
      <c r="F624" s="8" t="str">
        <f t="shared" si="21"/>
        <v>High</v>
      </c>
    </row>
    <row r="625" spans="1:7" x14ac:dyDescent="0.3">
      <c r="A625" s="67">
        <v>10030</v>
      </c>
      <c r="B625" s="67" t="s">
        <v>637</v>
      </c>
      <c r="C625" s="67" t="s">
        <v>670</v>
      </c>
      <c r="D625" s="21">
        <v>45937</v>
      </c>
      <c r="E625" s="67">
        <v>10250</v>
      </c>
      <c r="F625" s="8" t="str">
        <f t="shared" si="21"/>
        <v>High</v>
      </c>
    </row>
    <row r="627" spans="1:7" ht="27.6" customHeight="1" x14ac:dyDescent="0.3">
      <c r="A627" s="5"/>
      <c r="B627" s="5"/>
      <c r="C627" s="5"/>
      <c r="D627" s="5"/>
      <c r="E627" s="71" t="str">
        <f ca="1">_xlfn.FORMULATEXT(F616)</f>
        <v>=IF(OR(E616&gt;10000,B616="VIP"),"High","Standard")</v>
      </c>
      <c r="F627" s="71"/>
      <c r="G627" s="5"/>
    </row>
    <row r="628" spans="1:7" x14ac:dyDescent="0.3">
      <c r="A628" s="22" t="s">
        <v>675</v>
      </c>
      <c r="B628" s="5"/>
      <c r="C628" s="5"/>
      <c r="D628" s="5"/>
      <c r="E628" s="5"/>
      <c r="F628" s="5"/>
      <c r="G628" s="5"/>
    </row>
    <row r="629" spans="1:7" x14ac:dyDescent="0.3">
      <c r="A629" s="5" t="s">
        <v>676</v>
      </c>
      <c r="B629" s="5"/>
      <c r="C629" s="5"/>
      <c r="D629" s="5"/>
      <c r="E629" s="5"/>
      <c r="F629" s="5"/>
      <c r="G629" s="5"/>
    </row>
    <row r="630" spans="1:7" x14ac:dyDescent="0.3">
      <c r="A630" s="5"/>
      <c r="B630" s="5"/>
      <c r="C630" s="5"/>
      <c r="D630" s="5"/>
      <c r="E630" s="5"/>
      <c r="F630" s="5"/>
      <c r="G630" s="5"/>
    </row>
    <row r="631" spans="1:7" x14ac:dyDescent="0.3">
      <c r="A631" s="5" t="s">
        <v>940</v>
      </c>
      <c r="B631" s="5"/>
      <c r="C631" s="5"/>
      <c r="D631" s="5"/>
      <c r="E631" s="5"/>
      <c r="F631" s="5"/>
      <c r="G631" s="5"/>
    </row>
    <row r="632" spans="1:7" x14ac:dyDescent="0.3">
      <c r="A632" s="5"/>
      <c r="B632" s="5"/>
      <c r="C632" s="5"/>
      <c r="D632" s="5"/>
      <c r="E632" s="5"/>
      <c r="F632" s="5"/>
      <c r="G632" s="5"/>
    </row>
    <row r="633" spans="1:7" x14ac:dyDescent="0.3">
      <c r="A633" s="5" t="s">
        <v>677</v>
      </c>
      <c r="B633" s="5"/>
      <c r="C633" s="5"/>
      <c r="D633" s="5"/>
      <c r="E633" s="5"/>
      <c r="F633" s="5"/>
      <c r="G633" s="5"/>
    </row>
    <row r="634" spans="1:7" x14ac:dyDescent="0.3">
      <c r="A634" s="5"/>
      <c r="B634" s="5"/>
      <c r="C634" s="5"/>
      <c r="D634" s="5"/>
      <c r="E634" s="5"/>
      <c r="F634" s="5"/>
      <c r="G634" s="5"/>
    </row>
    <row r="635" spans="1:7" x14ac:dyDescent="0.3">
      <c r="A635" s="5" t="s">
        <v>941</v>
      </c>
      <c r="B635" s="5"/>
      <c r="C635" s="5"/>
      <c r="D635" s="5"/>
      <c r="E635" s="5"/>
      <c r="F635" s="5"/>
      <c r="G635" s="5"/>
    </row>
    <row r="636" spans="1:7" x14ac:dyDescent="0.3">
      <c r="A636" s="5" t="s">
        <v>942</v>
      </c>
      <c r="B636" s="5"/>
      <c r="C636" s="5"/>
      <c r="D636" s="5"/>
      <c r="E636" s="5"/>
      <c r="F636" s="5"/>
      <c r="G636" s="5"/>
    </row>
    <row r="637" spans="1:7" x14ac:dyDescent="0.3">
      <c r="A637" s="5" t="s">
        <v>943</v>
      </c>
      <c r="B637" s="5"/>
      <c r="C637" s="5"/>
      <c r="D637" s="5"/>
      <c r="E637" s="5"/>
      <c r="F637" s="5"/>
      <c r="G637" s="5"/>
    </row>
    <row r="638" spans="1:7" x14ac:dyDescent="0.3">
      <c r="A638" s="5" t="s">
        <v>944</v>
      </c>
      <c r="B638" s="5"/>
      <c r="C638" s="5"/>
      <c r="D638" s="5"/>
      <c r="E638" s="5"/>
      <c r="F638" s="5"/>
      <c r="G638" s="5"/>
    </row>
    <row r="639" spans="1:7" x14ac:dyDescent="0.3">
      <c r="A639" s="5" t="s">
        <v>945</v>
      </c>
      <c r="B639" s="5"/>
      <c r="C639" s="5"/>
      <c r="D639" s="5"/>
      <c r="E639" s="5"/>
      <c r="F639" s="5"/>
      <c r="G639" s="5"/>
    </row>
    <row r="640" spans="1:7" x14ac:dyDescent="0.3">
      <c r="A640" s="5"/>
      <c r="B640" s="5"/>
      <c r="C640" s="5"/>
      <c r="D640" s="5"/>
      <c r="E640" s="5"/>
      <c r="F640" s="5"/>
      <c r="G640" s="5"/>
    </row>
    <row r="641" spans="1:7" x14ac:dyDescent="0.3">
      <c r="A641" s="42" t="s">
        <v>678</v>
      </c>
      <c r="B641" s="42" t="s">
        <v>679</v>
      </c>
      <c r="C641" s="42" t="s">
        <v>680</v>
      </c>
      <c r="D641" s="42" t="s">
        <v>681</v>
      </c>
      <c r="E641" s="42" t="s">
        <v>682</v>
      </c>
      <c r="F641" s="5"/>
      <c r="G641" s="5"/>
    </row>
    <row r="642" spans="1:7" x14ac:dyDescent="0.3">
      <c r="A642" s="5" t="s">
        <v>683</v>
      </c>
      <c r="B642" s="5">
        <v>745</v>
      </c>
      <c r="C642" s="5">
        <v>82000</v>
      </c>
      <c r="D642" s="5">
        <v>15000</v>
      </c>
      <c r="E642" s="5" t="str">
        <f>IF(AND(B642&gt;700,C642&gt;50000),"Approve","Decline")</f>
        <v>Approve</v>
      </c>
      <c r="F642" s="5"/>
      <c r="G642" s="5"/>
    </row>
    <row r="643" spans="1:7" x14ac:dyDescent="0.3">
      <c r="A643" s="5" t="s">
        <v>535</v>
      </c>
      <c r="B643" s="5">
        <v>702</v>
      </c>
      <c r="C643" s="5">
        <v>51000</v>
      </c>
      <c r="D643" s="5">
        <v>12000</v>
      </c>
      <c r="E643" s="5" t="str">
        <f t="shared" ref="E643:E651" si="22">IF(AND(B643&gt;700,C643&gt;50000),"Approve","Decline")</f>
        <v>Approve</v>
      </c>
      <c r="F643" s="5"/>
      <c r="G643" s="5"/>
    </row>
    <row r="644" spans="1:7" x14ac:dyDescent="0.3">
      <c r="A644" s="5" t="s">
        <v>531</v>
      </c>
      <c r="B644" s="5">
        <v>701</v>
      </c>
      <c r="C644" s="5">
        <v>50000</v>
      </c>
      <c r="D644" s="5">
        <v>8000</v>
      </c>
      <c r="E644" s="5" t="str">
        <f t="shared" si="22"/>
        <v>Decline</v>
      </c>
      <c r="F644" s="5"/>
      <c r="G644" s="5"/>
    </row>
    <row r="645" spans="1:7" x14ac:dyDescent="0.3">
      <c r="A645" s="5" t="s">
        <v>684</v>
      </c>
      <c r="B645" s="5">
        <v>700</v>
      </c>
      <c r="C645" s="5">
        <v>65000</v>
      </c>
      <c r="D645" s="5">
        <v>20000</v>
      </c>
      <c r="E645" s="5" t="str">
        <f t="shared" si="22"/>
        <v>Decline</v>
      </c>
      <c r="F645" s="5"/>
      <c r="G645" s="5"/>
    </row>
    <row r="646" spans="1:7" x14ac:dyDescent="0.3">
      <c r="A646" s="5" t="s">
        <v>685</v>
      </c>
      <c r="B646" s="5">
        <v>680</v>
      </c>
      <c r="C646" s="5">
        <v>90000</v>
      </c>
      <c r="D646" s="5">
        <v>10000</v>
      </c>
      <c r="E646" s="5" t="str">
        <f t="shared" si="22"/>
        <v>Decline</v>
      </c>
      <c r="F646" s="5"/>
      <c r="G646" s="5"/>
    </row>
    <row r="647" spans="1:7" x14ac:dyDescent="0.3">
      <c r="A647" s="5" t="s">
        <v>686</v>
      </c>
      <c r="B647" s="5">
        <v>780</v>
      </c>
      <c r="C647" s="5">
        <v>48000</v>
      </c>
      <c r="D647" s="5">
        <v>5000</v>
      </c>
      <c r="E647" s="5" t="str">
        <f t="shared" si="22"/>
        <v>Decline</v>
      </c>
      <c r="F647" s="5"/>
      <c r="G647" s="5"/>
    </row>
    <row r="648" spans="1:7" x14ac:dyDescent="0.3">
      <c r="A648" s="5" t="s">
        <v>687</v>
      </c>
      <c r="B648" s="5">
        <v>720</v>
      </c>
      <c r="C648" s="5">
        <v>52000</v>
      </c>
      <c r="D648" s="5">
        <v>25000</v>
      </c>
      <c r="E648" s="5" t="str">
        <f t="shared" si="22"/>
        <v>Approve</v>
      </c>
      <c r="F648" s="5"/>
      <c r="G648" s="5"/>
    </row>
    <row r="649" spans="1:7" x14ac:dyDescent="0.3">
      <c r="A649" s="5" t="s">
        <v>688</v>
      </c>
      <c r="B649" s="5">
        <v>715</v>
      </c>
      <c r="C649" s="5">
        <v>50500</v>
      </c>
      <c r="D649" s="5">
        <v>18000</v>
      </c>
      <c r="E649" s="5" t="str">
        <f t="shared" si="22"/>
        <v>Approve</v>
      </c>
      <c r="F649" s="5"/>
      <c r="G649" s="5"/>
    </row>
    <row r="650" spans="1:7" s="5" customFormat="1" x14ac:dyDescent="0.3">
      <c r="A650" s="5" t="s">
        <v>689</v>
      </c>
      <c r="B650" s="5">
        <v>699</v>
      </c>
      <c r="C650" s="5">
        <v>51000</v>
      </c>
      <c r="D650" s="5">
        <v>7000</v>
      </c>
      <c r="E650" s="5" t="str">
        <f t="shared" si="22"/>
        <v>Decline</v>
      </c>
    </row>
    <row r="651" spans="1:7" s="5" customFormat="1" x14ac:dyDescent="0.3">
      <c r="A651" s="5" t="s">
        <v>690</v>
      </c>
      <c r="B651" s="5">
        <v>730</v>
      </c>
      <c r="C651" s="5">
        <v>50001</v>
      </c>
      <c r="D651" s="5">
        <v>16000</v>
      </c>
      <c r="E651" s="5" t="str">
        <f t="shared" si="22"/>
        <v>Approve</v>
      </c>
    </row>
    <row r="652" spans="1:7" s="5" customFormat="1" x14ac:dyDescent="0.3"/>
    <row r="653" spans="1:7" s="5" customFormat="1" ht="13.8" customHeight="1" x14ac:dyDescent="0.3">
      <c r="D653" s="5" t="str">
        <f ca="1">_xlfn.FORMULATEXT(E642)</f>
        <v>=IF(AND(B642&gt;700,C642&gt;50000),"Approve","Decline")</v>
      </c>
    </row>
    <row r="654" spans="1:7" s="5" customFormat="1" x14ac:dyDescent="0.3"/>
    <row r="655" spans="1:7" s="5" customFormat="1" x14ac:dyDescent="0.3">
      <c r="A655" s="22" t="s">
        <v>691</v>
      </c>
    </row>
    <row r="656" spans="1:7" s="5" customFormat="1" ht="109.2" x14ac:dyDescent="0.3">
      <c r="A656" s="5" t="s">
        <v>692</v>
      </c>
    </row>
    <row r="657" spans="1:4" s="5" customFormat="1" ht="234" x14ac:dyDescent="0.3">
      <c r="A657" s="5" t="s">
        <v>693</v>
      </c>
    </row>
    <row r="658" spans="1:4" s="5" customFormat="1" x14ac:dyDescent="0.3"/>
    <row r="659" spans="1:4" s="5" customFormat="1" x14ac:dyDescent="0.3">
      <c r="A659" s="13" t="s">
        <v>694</v>
      </c>
      <c r="B659" s="47">
        <v>45731</v>
      </c>
      <c r="C659" s="67"/>
      <c r="D659" s="67"/>
    </row>
    <row r="660" spans="1:4" s="5" customFormat="1" x14ac:dyDescent="0.3">
      <c r="A660" s="67"/>
      <c r="B660" s="67"/>
      <c r="C660" s="67"/>
      <c r="D660" s="67"/>
    </row>
    <row r="661" spans="1:4" s="5" customFormat="1" x14ac:dyDescent="0.3">
      <c r="A661" s="13" t="s">
        <v>695</v>
      </c>
      <c r="B661" s="13" t="s">
        <v>696</v>
      </c>
      <c r="C661" s="13" t="s">
        <v>307</v>
      </c>
      <c r="D661" s="48" t="s">
        <v>697</v>
      </c>
    </row>
    <row r="662" spans="1:4" s="5" customFormat="1" x14ac:dyDescent="0.3">
      <c r="A662" s="67" t="s">
        <v>698</v>
      </c>
      <c r="B662" s="21">
        <v>45716</v>
      </c>
      <c r="C662" s="67" t="s">
        <v>699</v>
      </c>
      <c r="D662" s="8" t="str">
        <f>IF(NOT(C662="Paid"),"Overdue","")</f>
        <v>Overdue</v>
      </c>
    </row>
    <row r="663" spans="1:4" s="5" customFormat="1" x14ac:dyDescent="0.3">
      <c r="A663" s="67" t="s">
        <v>700</v>
      </c>
      <c r="B663" s="21">
        <v>45688</v>
      </c>
      <c r="C663" s="67" t="s">
        <v>701</v>
      </c>
      <c r="D663" s="8" t="str">
        <f t="shared" ref="D663:D667" si="23">IF(NOT(C663="Paid"),"Overdue","")</f>
        <v/>
      </c>
    </row>
    <row r="664" spans="1:4" s="5" customFormat="1" x14ac:dyDescent="0.3">
      <c r="A664" s="67" t="s">
        <v>702</v>
      </c>
      <c r="B664" s="21">
        <v>45726</v>
      </c>
      <c r="C664" s="67" t="s">
        <v>703</v>
      </c>
      <c r="D664" s="8" t="str">
        <f t="shared" si="23"/>
        <v>Overdue</v>
      </c>
    </row>
    <row r="665" spans="1:4" s="5" customFormat="1" x14ac:dyDescent="0.3">
      <c r="A665" s="67" t="s">
        <v>704</v>
      </c>
      <c r="B665" s="21">
        <v>45703</v>
      </c>
      <c r="C665" s="67" t="s">
        <v>705</v>
      </c>
      <c r="D665" s="8" t="str">
        <f t="shared" si="23"/>
        <v>Overdue</v>
      </c>
    </row>
    <row r="666" spans="1:4" s="5" customFormat="1" x14ac:dyDescent="0.3">
      <c r="A666" s="67" t="s">
        <v>706</v>
      </c>
      <c r="B666" s="21">
        <v>45717</v>
      </c>
      <c r="C666" s="67" t="s">
        <v>707</v>
      </c>
      <c r="D666" s="8" t="str">
        <f t="shared" si="23"/>
        <v>Overdue</v>
      </c>
    </row>
    <row r="667" spans="1:4" s="5" customFormat="1" x14ac:dyDescent="0.3">
      <c r="A667" s="67" t="s">
        <v>708</v>
      </c>
      <c r="B667" s="21">
        <v>45698</v>
      </c>
      <c r="C667" s="67" t="s">
        <v>701</v>
      </c>
      <c r="D667" s="8" t="str">
        <f t="shared" si="23"/>
        <v/>
      </c>
    </row>
    <row r="668" spans="1:4" s="5" customFormat="1" x14ac:dyDescent="0.3"/>
    <row r="669" spans="1:4" s="5" customFormat="1" x14ac:dyDescent="0.3">
      <c r="C669" s="72" t="str">
        <f ca="1">_xlfn.FORMULATEXT(D662)</f>
        <v>=IF(NOT(C662="Paid"),"Overdue","")</v>
      </c>
      <c r="D669" s="72"/>
    </row>
    <row r="670" spans="1:4" s="5" customFormat="1" x14ac:dyDescent="0.3"/>
    <row r="671" spans="1:4" s="5" customFormat="1" x14ac:dyDescent="0.3">
      <c r="A671" s="22" t="s">
        <v>709</v>
      </c>
    </row>
    <row r="672" spans="1:4" s="5" customFormat="1" ht="156" x14ac:dyDescent="0.3">
      <c r="A672" s="5" t="s">
        <v>710</v>
      </c>
    </row>
    <row r="673" spans="1:5" s="5" customFormat="1" x14ac:dyDescent="0.3"/>
    <row r="674" spans="1:5" s="5" customFormat="1" x14ac:dyDescent="0.3">
      <c r="A674" s="10" t="s">
        <v>711</v>
      </c>
      <c r="B674" s="10" t="s">
        <v>220</v>
      </c>
      <c r="C674" s="10" t="s">
        <v>712</v>
      </c>
      <c r="D674" s="49" t="s">
        <v>713</v>
      </c>
      <c r="E674" s="49" t="s">
        <v>714</v>
      </c>
    </row>
    <row r="675" spans="1:5" s="5" customFormat="1" x14ac:dyDescent="0.3">
      <c r="A675" s="67" t="s">
        <v>524</v>
      </c>
      <c r="B675" s="67">
        <v>96</v>
      </c>
      <c r="C675" s="8" t="str">
        <f>IF(B675&gt;=90,"A",IF(B675&gt;=80,"B",IF(B675&gt;=70,"C",IF(B675&gt;=60,"D","F"))))</f>
        <v>A</v>
      </c>
      <c r="D675" s="67" t="s">
        <v>715</v>
      </c>
      <c r="E675" s="67">
        <v>90</v>
      </c>
    </row>
    <row r="676" spans="1:5" s="5" customFormat="1" x14ac:dyDescent="0.3">
      <c r="A676" s="67" t="s">
        <v>530</v>
      </c>
      <c r="B676" s="67">
        <v>88</v>
      </c>
      <c r="C676" s="8" t="str">
        <f t="shared" ref="C676:C682" si="24">IF(B676&gt;=90,"A",IF(B676&gt;=80,"B",IF(B676&gt;=70,"C",IF(B676&gt;=60,"D","F"))))</f>
        <v>B</v>
      </c>
      <c r="D676" s="67" t="s">
        <v>716</v>
      </c>
      <c r="E676" s="67">
        <v>80</v>
      </c>
    </row>
    <row r="677" spans="1:5" s="5" customFormat="1" x14ac:dyDescent="0.3">
      <c r="A677" s="67" t="s">
        <v>640</v>
      </c>
      <c r="B677" s="67">
        <v>73</v>
      </c>
      <c r="C677" s="8" t="str">
        <f t="shared" si="24"/>
        <v>C</v>
      </c>
      <c r="D677" s="67" t="s">
        <v>717</v>
      </c>
      <c r="E677" s="67">
        <v>70</v>
      </c>
    </row>
    <row r="678" spans="1:5" s="5" customFormat="1" x14ac:dyDescent="0.3">
      <c r="A678" s="67" t="s">
        <v>120</v>
      </c>
      <c r="B678" s="67">
        <v>67</v>
      </c>
      <c r="C678" s="8" t="str">
        <f t="shared" si="24"/>
        <v>D</v>
      </c>
      <c r="D678" s="67" t="s">
        <v>718</v>
      </c>
      <c r="E678" s="67">
        <v>60</v>
      </c>
    </row>
    <row r="679" spans="1:5" s="5" customFormat="1" x14ac:dyDescent="0.3">
      <c r="A679" s="67" t="s">
        <v>646</v>
      </c>
      <c r="B679" s="67">
        <v>59</v>
      </c>
      <c r="C679" s="8" t="str">
        <f t="shared" si="24"/>
        <v>F</v>
      </c>
      <c r="D679" s="67" t="s">
        <v>719</v>
      </c>
      <c r="E679" s="67">
        <v>0</v>
      </c>
    </row>
    <row r="680" spans="1:5" s="5" customFormat="1" x14ac:dyDescent="0.3">
      <c r="A680" s="67" t="s">
        <v>531</v>
      </c>
      <c r="B680" s="67">
        <v>80</v>
      </c>
      <c r="C680" s="8" t="str">
        <f t="shared" si="24"/>
        <v>B</v>
      </c>
      <c r="D680" s="67"/>
      <c r="E680" s="67"/>
    </row>
    <row r="681" spans="1:5" s="5" customFormat="1" x14ac:dyDescent="0.3">
      <c r="A681" s="67" t="s">
        <v>631</v>
      </c>
      <c r="B681" s="67">
        <v>90</v>
      </c>
      <c r="C681" s="8" t="str">
        <f t="shared" si="24"/>
        <v>A</v>
      </c>
      <c r="D681" s="67"/>
      <c r="E681" s="67"/>
    </row>
    <row r="682" spans="1:5" s="5" customFormat="1" x14ac:dyDescent="0.3">
      <c r="A682" s="67" t="s">
        <v>720</v>
      </c>
      <c r="B682" s="67">
        <v>70</v>
      </c>
      <c r="C682" s="8" t="str">
        <f t="shared" si="24"/>
        <v>C</v>
      </c>
      <c r="D682" s="67"/>
      <c r="E682" s="67"/>
    </row>
    <row r="683" spans="1:5" s="5" customFormat="1" x14ac:dyDescent="0.3"/>
    <row r="684" spans="1:5" s="5" customFormat="1" ht="14.4" customHeight="1" x14ac:dyDescent="0.3">
      <c r="B684" s="72" t="str">
        <f ca="1">_xlfn.FORMULATEXT(C675)</f>
        <v>=IF(B675&gt;=90,"A",IF(B675&gt;=80,"B",IF(B675&gt;=70,"C",IF(B675&gt;=60,"D","F"))))</v>
      </c>
      <c r="C684" s="72"/>
    </row>
    <row r="685" spans="1:5" s="5" customFormat="1" x14ac:dyDescent="0.3">
      <c r="A685" s="50" t="s">
        <v>722</v>
      </c>
      <c r="B685" s="72" t="s">
        <v>721</v>
      </c>
      <c r="C685" s="72"/>
    </row>
    <row r="686" spans="1:5" s="5" customFormat="1" x14ac:dyDescent="0.3"/>
    <row r="687" spans="1:5" s="5" customFormat="1" x14ac:dyDescent="0.3">
      <c r="A687" s="22" t="s">
        <v>723</v>
      </c>
    </row>
    <row r="688" spans="1:5" s="5" customFormat="1" ht="156" x14ac:dyDescent="0.3">
      <c r="A688" s="67" t="s">
        <v>724</v>
      </c>
    </row>
    <row r="689" spans="1:6" s="5" customFormat="1" x14ac:dyDescent="0.3">
      <c r="A689" s="67"/>
    </row>
    <row r="690" spans="1:6" s="5" customFormat="1" x14ac:dyDescent="0.3">
      <c r="A690" s="10" t="s">
        <v>305</v>
      </c>
      <c r="B690" s="10" t="s">
        <v>725</v>
      </c>
      <c r="C690" s="10" t="s">
        <v>726</v>
      </c>
      <c r="D690" s="49" t="s">
        <v>667</v>
      </c>
      <c r="E690" s="49" t="s">
        <v>727</v>
      </c>
      <c r="F690" s="49" t="s">
        <v>728</v>
      </c>
    </row>
    <row r="691" spans="1:6" s="5" customFormat="1" x14ac:dyDescent="0.3">
      <c r="A691" s="67" t="s">
        <v>117</v>
      </c>
      <c r="B691" s="67">
        <v>8200</v>
      </c>
      <c r="C691" s="8">
        <f>IF(B691&gt;=$E$691,B691*$F$691,IF(B691&gt;=$E$692,B691*$F$692,B691*$F$693))</f>
        <v>246</v>
      </c>
      <c r="D691" s="67" t="s">
        <v>729</v>
      </c>
      <c r="E691" s="67">
        <v>25000</v>
      </c>
      <c r="F691" s="67">
        <v>7.0000000000000007E-2</v>
      </c>
    </row>
    <row r="692" spans="1:6" s="5" customFormat="1" x14ac:dyDescent="0.3">
      <c r="A692" s="67" t="s">
        <v>730</v>
      </c>
      <c r="B692" s="67">
        <v>12000</v>
      </c>
      <c r="C692" s="8">
        <f t="shared" ref="C692:C698" si="25">IF(B692&gt;=$E$691,B692*$F$691,IF(B692&gt;=$E$692,B692*$F$692,B692*$F$693))</f>
        <v>600</v>
      </c>
      <c r="D692" s="67" t="s">
        <v>731</v>
      </c>
      <c r="E692" s="67">
        <v>10000</v>
      </c>
      <c r="F692" s="67">
        <v>0.05</v>
      </c>
    </row>
    <row r="693" spans="1:6" s="5" customFormat="1" x14ac:dyDescent="0.3">
      <c r="A693" s="67" t="s">
        <v>732</v>
      </c>
      <c r="B693" s="67">
        <v>25750</v>
      </c>
      <c r="C693" s="8">
        <f t="shared" si="25"/>
        <v>1802.5000000000002</v>
      </c>
      <c r="D693" s="67" t="s">
        <v>733</v>
      </c>
      <c r="E693" s="67">
        <v>0</v>
      </c>
      <c r="F693" s="67">
        <v>0.03</v>
      </c>
    </row>
    <row r="694" spans="1:6" s="5" customFormat="1" x14ac:dyDescent="0.3">
      <c r="A694" s="67" t="s">
        <v>734</v>
      </c>
      <c r="B694" s="67">
        <v>18150</v>
      </c>
      <c r="C694" s="8">
        <f t="shared" si="25"/>
        <v>907.5</v>
      </c>
      <c r="D694" s="67"/>
      <c r="E694" s="67"/>
      <c r="F694" s="67"/>
    </row>
    <row r="695" spans="1:6" s="5" customFormat="1" x14ac:dyDescent="0.3">
      <c r="A695" s="67" t="s">
        <v>735</v>
      </c>
      <c r="B695" s="67">
        <v>9500</v>
      </c>
      <c r="C695" s="8">
        <f t="shared" si="25"/>
        <v>285</v>
      </c>
      <c r="D695" s="67"/>
      <c r="E695" s="67"/>
      <c r="F695" s="67"/>
    </row>
    <row r="696" spans="1:6" s="5" customFormat="1" x14ac:dyDescent="0.3">
      <c r="A696" s="67" t="s">
        <v>736</v>
      </c>
      <c r="B696" s="67">
        <v>30500</v>
      </c>
      <c r="C696" s="8">
        <f t="shared" si="25"/>
        <v>2135</v>
      </c>
      <c r="D696" s="67"/>
      <c r="E696" s="67"/>
      <c r="F696" s="67"/>
    </row>
    <row r="697" spans="1:6" s="5" customFormat="1" x14ac:dyDescent="0.3">
      <c r="A697" s="67" t="s">
        <v>737</v>
      </c>
      <c r="B697" s="67">
        <v>24000</v>
      </c>
      <c r="C697" s="8">
        <f t="shared" si="25"/>
        <v>1200</v>
      </c>
      <c r="D697" s="67"/>
      <c r="E697" s="67"/>
      <c r="F697" s="67"/>
    </row>
    <row r="698" spans="1:6" s="5" customFormat="1" x14ac:dyDescent="0.3">
      <c r="A698" s="67" t="s">
        <v>738</v>
      </c>
      <c r="B698" s="67">
        <v>10000</v>
      </c>
      <c r="C698" s="8">
        <f t="shared" si="25"/>
        <v>500</v>
      </c>
      <c r="D698" s="67"/>
      <c r="E698" s="67"/>
      <c r="F698" s="67"/>
    </row>
    <row r="699" spans="1:6" s="5" customFormat="1" x14ac:dyDescent="0.3">
      <c r="A699" s="67"/>
      <c r="B699" s="67"/>
      <c r="C699" s="67"/>
      <c r="D699" s="67"/>
      <c r="E699" s="67"/>
      <c r="F699" s="67"/>
    </row>
    <row r="700" spans="1:6" s="5" customFormat="1" x14ac:dyDescent="0.3">
      <c r="A700" s="51" t="s">
        <v>739</v>
      </c>
      <c r="B700" s="73" t="s">
        <v>740</v>
      </c>
      <c r="C700" s="73"/>
      <c r="D700" s="67"/>
      <c r="E700" s="67"/>
      <c r="F700" s="67"/>
    </row>
    <row r="701" spans="1:6" s="5" customFormat="1" x14ac:dyDescent="0.3"/>
    <row r="702" spans="1:6" s="5" customFormat="1" x14ac:dyDescent="0.3">
      <c r="B702" s="72" t="str">
        <f ca="1">_xlfn.FORMULATEXT(C691)</f>
        <v>=IF(B691&gt;=$E$691,B691*$F$691,IF(B691&gt;=$E$692,B691*$F$692,B691*$F$693))</v>
      </c>
      <c r="C702" s="72"/>
    </row>
    <row r="703" spans="1:6" s="5" customFormat="1" x14ac:dyDescent="0.3">
      <c r="A703" s="67"/>
    </row>
    <row r="704" spans="1:6" s="5" customFormat="1" x14ac:dyDescent="0.3">
      <c r="A704" s="22" t="s">
        <v>741</v>
      </c>
    </row>
    <row r="705" spans="1:9" s="5" customFormat="1" ht="187.2" x14ac:dyDescent="0.3">
      <c r="A705" s="67" t="s">
        <v>742</v>
      </c>
    </row>
    <row r="706" spans="1:9" s="5" customFormat="1" ht="109.2" x14ac:dyDescent="0.3">
      <c r="A706" s="67" t="s">
        <v>743</v>
      </c>
    </row>
    <row r="707" spans="1:9" s="5" customFormat="1" x14ac:dyDescent="0.3">
      <c r="A707" s="67"/>
    </row>
    <row r="708" spans="1:9" s="5" customFormat="1" x14ac:dyDescent="0.3">
      <c r="A708" s="10" t="s">
        <v>744</v>
      </c>
      <c r="B708" s="10" t="s">
        <v>745</v>
      </c>
      <c r="C708" s="10" t="s">
        <v>746</v>
      </c>
      <c r="D708" s="67"/>
      <c r="E708" s="49" t="s">
        <v>747</v>
      </c>
      <c r="F708" s="49" t="s">
        <v>748</v>
      </c>
      <c r="G708" s="67"/>
      <c r="H708" s="67"/>
      <c r="I708" s="67"/>
    </row>
    <row r="709" spans="1:9" s="5" customFormat="1" x14ac:dyDescent="0.3">
      <c r="A709" s="67" t="s">
        <v>749</v>
      </c>
      <c r="B709" s="67">
        <v>0.8</v>
      </c>
      <c r="C709" s="8" t="str" cm="1">
        <f t="array" ref="C709">_xlfn.IFS(B709&lt;=$E$709,$F$709,B709&lt;=$E$710,$F$710,B709&lt;=$E$711,$F$711,B709&lt;=$E$712,$F$712,B709&gt;$E$712,$F$713)</f>
        <v>Letter</v>
      </c>
      <c r="D709" s="67"/>
      <c r="E709" s="67">
        <v>1</v>
      </c>
      <c r="F709" s="67" t="s">
        <v>750</v>
      </c>
      <c r="G709" s="67"/>
      <c r="H709" s="67"/>
      <c r="I709" s="67"/>
    </row>
    <row r="710" spans="1:9" s="5" customFormat="1" x14ac:dyDescent="0.3">
      <c r="A710" s="67" t="s">
        <v>751</v>
      </c>
      <c r="B710" s="67">
        <v>3.5</v>
      </c>
      <c r="C710" s="8" t="str" cm="1">
        <f t="array" ref="C710">_xlfn.IFS(B710&lt;=$E$709,$F$709,B710&lt;=$E$710,$F$710,B710&lt;=$E$711,$F$711,B710&lt;=$E$712,$F$712,B710&gt;$E$712,$F$713)</f>
        <v>Standard</v>
      </c>
      <c r="D710" s="67"/>
      <c r="E710" s="67">
        <v>5</v>
      </c>
      <c r="F710" s="67" t="s">
        <v>637</v>
      </c>
      <c r="G710" s="67"/>
      <c r="H710" s="67"/>
      <c r="I710" s="67"/>
    </row>
    <row r="711" spans="1:9" s="5" customFormat="1" x14ac:dyDescent="0.3">
      <c r="A711" s="67" t="s">
        <v>752</v>
      </c>
      <c r="B711" s="67">
        <v>12</v>
      </c>
      <c r="C711" s="8" t="str" cm="1">
        <f t="array" ref="C711">_xlfn.IFS(B711&lt;=$E$709,$F$709,B711&lt;=$E$710,$F$710,B711&lt;=$E$711,$F$711,B711&lt;=$E$712,$F$712,B711&gt;$E$712,$F$713)</f>
        <v>Ground</v>
      </c>
      <c r="D711" s="67"/>
      <c r="E711" s="67">
        <v>20</v>
      </c>
      <c r="F711" s="67" t="s">
        <v>753</v>
      </c>
      <c r="G711" s="67"/>
      <c r="H711" s="67"/>
      <c r="I711" s="67"/>
    </row>
    <row r="712" spans="1:9" s="5" customFormat="1" x14ac:dyDescent="0.3">
      <c r="A712" s="67" t="s">
        <v>754</v>
      </c>
      <c r="B712" s="67">
        <v>0.3</v>
      </c>
      <c r="C712" s="8" t="str" cm="1">
        <f t="array" ref="C712">_xlfn.IFS(B712&lt;=$E$709,$F$709,B712&lt;=$E$710,$F$710,B712&lt;=$E$711,$F$711,B712&lt;=$E$712,$F$712,B712&gt;$E$712,$F$713)</f>
        <v>Letter</v>
      </c>
      <c r="D712" s="67"/>
      <c r="E712" s="67">
        <v>50</v>
      </c>
      <c r="F712" s="67" t="s">
        <v>755</v>
      </c>
      <c r="G712" s="67"/>
      <c r="H712" s="67"/>
      <c r="I712" s="67"/>
    </row>
    <row r="713" spans="1:9" s="5" customFormat="1" x14ac:dyDescent="0.3">
      <c r="A713" s="67" t="s">
        <v>756</v>
      </c>
      <c r="B713" s="67">
        <v>28</v>
      </c>
      <c r="C713" s="8" t="str" cm="1">
        <f t="array" ref="C713">_xlfn.IFS(B713&lt;=$E$709,$F$709,B713&lt;=$E$710,$F$710,B713&lt;=$E$711,$F$711,B713&lt;=$E$712,$F$712,B713&gt;$E$712,$F$713)</f>
        <v>Freight</v>
      </c>
      <c r="D713" s="67"/>
      <c r="E713" s="67"/>
      <c r="F713" s="67" t="s">
        <v>757</v>
      </c>
      <c r="G713" s="67"/>
      <c r="H713" s="67"/>
      <c r="I713" s="67"/>
    </row>
    <row r="714" spans="1:9" s="5" customFormat="1" x14ac:dyDescent="0.3">
      <c r="A714" s="67" t="s">
        <v>758</v>
      </c>
      <c r="B714" s="67">
        <v>7</v>
      </c>
      <c r="C714" s="8" t="str" cm="1">
        <f t="array" ref="C714">_xlfn.IFS(B714&lt;=$E$709,$F$709,B714&lt;=$E$710,$F$710,B714&lt;=$E$711,$F$711,B714&lt;=$E$712,$F$712,B714&gt;$E$712,$F$713)</f>
        <v>Ground</v>
      </c>
      <c r="D714" s="67"/>
      <c r="E714" s="67"/>
      <c r="F714" s="67"/>
      <c r="G714" s="67"/>
      <c r="H714" s="67"/>
      <c r="I714" s="67"/>
    </row>
    <row r="715" spans="1:9" s="5" customFormat="1" x14ac:dyDescent="0.3">
      <c r="A715" s="67" t="s">
        <v>759</v>
      </c>
      <c r="B715" s="67">
        <v>55</v>
      </c>
      <c r="C715" s="8" t="str" cm="1">
        <f t="array" ref="C715">_xlfn.IFS(B715&lt;=$E$709,$F$709,B715&lt;=$E$710,$F$710,B715&lt;=$E$711,$F$711,B715&lt;=$E$712,$F$712,B715&gt;$E$712,$F$713)</f>
        <v>Heavy freight</v>
      </c>
      <c r="D715" s="67"/>
      <c r="E715" s="67"/>
      <c r="F715" s="67"/>
      <c r="G715" s="67"/>
      <c r="H715" s="67"/>
      <c r="I715" s="67"/>
    </row>
    <row r="716" spans="1:9" s="5" customFormat="1" x14ac:dyDescent="0.3">
      <c r="A716" s="67" t="s">
        <v>760</v>
      </c>
      <c r="B716" s="67">
        <v>18</v>
      </c>
      <c r="C716" s="8" t="str" cm="1">
        <f t="array" ref="C716">_xlfn.IFS(B716&lt;=$E$709,$F$709,B716&lt;=$E$710,$F$710,B716&lt;=$E$711,$F$711,B716&lt;=$E$712,$F$712,B716&gt;$E$712,$F$713)</f>
        <v>Ground</v>
      </c>
      <c r="D716" s="67"/>
      <c r="E716" s="67"/>
      <c r="F716" s="67"/>
      <c r="G716" s="67"/>
      <c r="H716" s="67"/>
      <c r="I716" s="67"/>
    </row>
    <row r="717" spans="1:9" s="5" customFormat="1" x14ac:dyDescent="0.3">
      <c r="A717" s="67"/>
      <c r="B717" s="67"/>
      <c r="C717" s="67"/>
      <c r="D717" s="67"/>
      <c r="E717" s="67"/>
      <c r="F717" s="67"/>
      <c r="G717" s="67"/>
      <c r="H717" s="67"/>
      <c r="I717" s="67"/>
    </row>
    <row r="718" spans="1:9" s="5" customFormat="1" x14ac:dyDescent="0.3">
      <c r="A718" s="67"/>
      <c r="B718" s="76" t="str">
        <f ca="1">_xlfn.FORMULATEXT(C709)</f>
        <v>=IFS(B709&lt;=$E$709,$F$709,B709&lt;=$E$710,$F$710,B709&lt;=$E$711,$F$711,B709&lt;=$E$712,$F$712,B709&gt;$E$712,$F$713)</v>
      </c>
      <c r="C718" s="76"/>
      <c r="D718" s="76"/>
      <c r="E718" s="67"/>
      <c r="F718" s="67"/>
      <c r="G718" s="67"/>
      <c r="H718" s="67"/>
      <c r="I718" s="67"/>
    </row>
    <row r="719" spans="1:9" s="5" customFormat="1" x14ac:dyDescent="0.3">
      <c r="A719" s="67"/>
      <c r="B719" s="67"/>
      <c r="C719" s="67"/>
      <c r="D719" s="67"/>
      <c r="E719" s="67"/>
      <c r="F719" s="67"/>
      <c r="G719" s="67"/>
      <c r="H719" s="67"/>
      <c r="I719" s="67"/>
    </row>
    <row r="720" spans="1:9" s="5" customFormat="1" x14ac:dyDescent="0.3">
      <c r="A720" s="22" t="s">
        <v>761</v>
      </c>
      <c r="B720" s="67"/>
      <c r="C720" s="67"/>
      <c r="D720" s="67"/>
      <c r="E720" s="67"/>
      <c r="F720" s="67"/>
      <c r="G720" s="67"/>
      <c r="H720" s="67"/>
      <c r="I720" s="67"/>
    </row>
    <row r="721" spans="1:9" s="5" customFormat="1" ht="124.8" x14ac:dyDescent="0.3">
      <c r="A721" s="67" t="s">
        <v>762</v>
      </c>
      <c r="B721" s="67"/>
      <c r="C721" s="67"/>
      <c r="D721" s="67"/>
      <c r="E721" s="67"/>
      <c r="F721" s="67"/>
      <c r="G721" s="67"/>
      <c r="H721" s="67"/>
      <c r="I721" s="67"/>
    </row>
    <row r="722" spans="1:9" s="5" customFormat="1" ht="124.8" x14ac:dyDescent="0.3">
      <c r="A722" s="67" t="s">
        <v>763</v>
      </c>
      <c r="B722" s="67"/>
      <c r="C722" s="67"/>
      <c r="D722" s="67"/>
      <c r="E722" s="67"/>
      <c r="F722" s="67"/>
      <c r="G722" s="67"/>
      <c r="H722" s="67"/>
      <c r="I722" s="67"/>
    </row>
    <row r="723" spans="1:9" s="5" customFormat="1" x14ac:dyDescent="0.3">
      <c r="A723" s="67"/>
      <c r="B723" s="67"/>
      <c r="C723" s="67"/>
      <c r="D723" s="67"/>
      <c r="E723" s="67"/>
      <c r="F723" s="67"/>
      <c r="G723" s="67"/>
      <c r="H723" s="67"/>
      <c r="I723" s="67"/>
    </row>
    <row r="724" spans="1:9" s="5" customFormat="1" x14ac:dyDescent="0.3">
      <c r="A724" s="10" t="s">
        <v>113</v>
      </c>
      <c r="B724" s="10" t="s">
        <v>203</v>
      </c>
      <c r="C724" s="10" t="s">
        <v>764</v>
      </c>
      <c r="D724" s="10" t="s">
        <v>765</v>
      </c>
      <c r="E724" s="10" t="s">
        <v>766</v>
      </c>
      <c r="F724" s="67"/>
      <c r="G724" s="67"/>
      <c r="H724" s="67"/>
      <c r="I724" s="67"/>
    </row>
    <row r="725" spans="1:9" s="5" customFormat="1" x14ac:dyDescent="0.3">
      <c r="A725" s="67" t="s">
        <v>767</v>
      </c>
      <c r="B725" s="67" t="s">
        <v>768</v>
      </c>
      <c r="C725" s="28" t="str" cm="1">
        <f t="array" ref="C725">_xlfn.SWITCH(B725,$A$736,$B$736,$A$737,$B$737,$A$738,$B$738,$A$739,$B$739,$A$740,$B$740,"Unknown")</f>
        <v>Marketing</v>
      </c>
      <c r="D725" s="28" t="str" cm="1">
        <f t="array" ref="D725">_xlfn.SWITCH(B725,$A$736,$C$736,$A$737,$C$737,$A$738,$C$738,$A$739,$C$739,$A$740,$C$740,"Unknown")</f>
        <v>Growth</v>
      </c>
      <c r="E725" s="67" t="s">
        <v>769</v>
      </c>
      <c r="F725" s="67"/>
      <c r="G725" s="67"/>
      <c r="H725" s="67"/>
      <c r="I725" s="67"/>
    </row>
    <row r="726" spans="1:9" s="5" customFormat="1" x14ac:dyDescent="0.3">
      <c r="A726" s="67" t="s">
        <v>117</v>
      </c>
      <c r="B726" s="67" t="s">
        <v>770</v>
      </c>
      <c r="C726" s="28" t="str" cm="1">
        <f t="array" ref="C726">_xlfn.SWITCH(B726,$A$736,$B$736,$A$737,$B$737,$A$738,$B$738,$A$739,$B$739,$A$740,$B$740,"Unknown")</f>
        <v>Engineering</v>
      </c>
      <c r="D726" s="28" t="str" cm="1">
        <f t="array" ref="D726">_xlfn.SWITCH(B726,$A$736,$C$736,$A$737,$C$737,$A$738,$C$738,$A$739,$C$739,$A$740,$C$740,"Unknown")</f>
        <v>Product</v>
      </c>
      <c r="E726" s="67" t="s">
        <v>771</v>
      </c>
      <c r="F726" s="67"/>
      <c r="G726" s="67"/>
      <c r="H726" s="67"/>
      <c r="I726" s="67"/>
    </row>
    <row r="727" spans="1:9" s="5" customFormat="1" x14ac:dyDescent="0.3">
      <c r="A727" s="67" t="s">
        <v>772</v>
      </c>
      <c r="B727" s="67" t="s">
        <v>773</v>
      </c>
      <c r="C727" s="28" t="str" cm="1">
        <f t="array" ref="C727">_xlfn.SWITCH(B727,$A$736,$B$736,$A$737,$B$737,$A$738,$B$738,$A$739,$B$739,$A$740,$B$740,"Unknown")</f>
        <v>Finance</v>
      </c>
      <c r="D727" s="28" t="str" cm="1">
        <f t="array" ref="D727">_xlfn.SWITCH(B727,$A$736,$C$736,$A$737,$C$737,$A$738,$C$738,$A$739,$C$739,$A$740,$C$740,"Unknown")</f>
        <v>Operations</v>
      </c>
      <c r="E727" s="67" t="s">
        <v>774</v>
      </c>
      <c r="F727" s="67"/>
      <c r="G727" s="67"/>
      <c r="H727" s="67"/>
      <c r="I727" s="67"/>
    </row>
    <row r="728" spans="1:9" s="5" customFormat="1" x14ac:dyDescent="0.3">
      <c r="A728" s="67" t="s">
        <v>687</v>
      </c>
      <c r="B728" s="67" t="s">
        <v>775</v>
      </c>
      <c r="C728" s="28" t="str" cm="1">
        <f t="array" ref="C728">_xlfn.SWITCH(B728,$A$736,$B$736,$A$737,$B$737,$A$738,$B$738,$A$739,$B$739,$A$740,$B$740,"Unknown")</f>
        <v>Operations</v>
      </c>
      <c r="D728" s="28" t="str" cm="1">
        <f t="array" ref="D728">_xlfn.SWITCH(B728,$A$736,$C$736,$A$737,$C$737,$A$738,$C$738,$A$739,$C$739,$A$740,$C$740,"Unknown")</f>
        <v>Operations</v>
      </c>
      <c r="E728" s="67" t="s">
        <v>776</v>
      </c>
      <c r="F728" s="67"/>
      <c r="G728" s="67"/>
      <c r="H728" s="67"/>
      <c r="I728" s="67"/>
    </row>
    <row r="729" spans="1:9" s="5" customFormat="1" x14ac:dyDescent="0.3">
      <c r="A729" s="67" t="s">
        <v>777</v>
      </c>
      <c r="B729" s="67" t="s">
        <v>116</v>
      </c>
      <c r="C729" s="28" t="str" cm="1">
        <f t="array" ref="C729">_xlfn.SWITCH(B729,$A$736,$B$736,$A$737,$B$737,$A$738,$B$738,$A$739,$B$739,$A$740,$B$740,"Unknown")</f>
        <v>Human Resources</v>
      </c>
      <c r="D729" s="28" t="str" cm="1">
        <f t="array" ref="D729">_xlfn.SWITCH(B729,$A$736,$C$736,$A$737,$C$737,$A$738,$C$738,$A$739,$C$739,$A$740,$C$740,"Unknown")</f>
        <v>People</v>
      </c>
      <c r="E729" s="67" t="s">
        <v>778</v>
      </c>
      <c r="F729" s="67"/>
      <c r="G729" s="67"/>
      <c r="H729" s="67"/>
      <c r="I729" s="67"/>
    </row>
    <row r="730" spans="1:9" x14ac:dyDescent="0.3">
      <c r="A730" s="67" t="s">
        <v>779</v>
      </c>
      <c r="B730" s="67" t="s">
        <v>770</v>
      </c>
      <c r="C730" s="28" t="str" cm="1">
        <f t="array" ref="C730">_xlfn.SWITCH(B730,$A$736,$B$736,$A$737,$B$737,$A$738,$B$738,$A$739,$B$739,$A$740,$B$740,"Unknown")</f>
        <v>Engineering</v>
      </c>
      <c r="D730" s="28" t="str" cm="1">
        <f t="array" ref="D730">_xlfn.SWITCH(B730,$A$736,$C$736,$A$737,$C$737,$A$738,$C$738,$A$739,$C$739,$A$740,$C$740,"Unknown")</f>
        <v>Product</v>
      </c>
      <c r="E730" s="67" t="s">
        <v>780</v>
      </c>
      <c r="F730" s="67"/>
      <c r="G730" s="67"/>
      <c r="H730" s="67"/>
      <c r="I730" s="67"/>
    </row>
    <row r="731" spans="1:9" x14ac:dyDescent="0.3">
      <c r="A731" s="67" t="s">
        <v>781</v>
      </c>
      <c r="B731" s="67" t="s">
        <v>768</v>
      </c>
      <c r="C731" s="28" t="str" cm="1">
        <f t="array" ref="C731">_xlfn.SWITCH(B731,$A$736,$B$736,$A$737,$B$737,$A$738,$B$738,$A$739,$B$739,$A$740,$B$740,"Unknown")</f>
        <v>Marketing</v>
      </c>
      <c r="D731" s="28" t="str" cm="1">
        <f t="array" ref="D731">_xlfn.SWITCH(B731,$A$736,$C$736,$A$737,$C$737,$A$738,$C$738,$A$739,$C$739,$A$740,$C$740,"Unknown")</f>
        <v>Growth</v>
      </c>
      <c r="E731" s="67" t="s">
        <v>782</v>
      </c>
      <c r="F731" s="67"/>
      <c r="G731" s="67"/>
      <c r="H731" s="67"/>
      <c r="I731" s="67"/>
    </row>
    <row r="732" spans="1:9" x14ac:dyDescent="0.3">
      <c r="A732" s="67" t="s">
        <v>783</v>
      </c>
      <c r="B732" s="67" t="s">
        <v>775</v>
      </c>
      <c r="C732" s="28" t="str" cm="1">
        <f t="array" ref="C732">_xlfn.SWITCH(B732,$A$736,$B$736,$A$737,$B$737,$A$738,$B$738,$A$739,$B$739,$A$740,$B$740,"Unknown")</f>
        <v>Operations</v>
      </c>
      <c r="D732" s="28" t="str" cm="1">
        <f t="array" ref="D732">_xlfn.SWITCH(B732,$A$736,$C$736,$A$737,$C$737,$A$738,$C$738,$A$739,$C$739,$A$740,$C$740,"Unknown")</f>
        <v>Operations</v>
      </c>
      <c r="E732" s="67" t="s">
        <v>784</v>
      </c>
      <c r="F732" s="67"/>
      <c r="G732" s="67"/>
      <c r="H732" s="67"/>
      <c r="I732" s="67"/>
    </row>
    <row r="733" spans="1:9" x14ac:dyDescent="0.3">
      <c r="A733" s="67"/>
      <c r="B733" s="67"/>
      <c r="C733" s="67"/>
      <c r="D733" s="67"/>
      <c r="E733" s="67"/>
      <c r="F733" s="67"/>
      <c r="G733" s="67"/>
      <c r="H733" s="67"/>
      <c r="I733" s="67"/>
    </row>
    <row r="734" spans="1:9" x14ac:dyDescent="0.3">
      <c r="A734" s="67"/>
      <c r="B734" s="67"/>
      <c r="C734" s="67"/>
      <c r="D734" s="67"/>
      <c r="E734" s="67"/>
      <c r="F734" s="67"/>
      <c r="G734" s="67"/>
      <c r="H734" s="67"/>
      <c r="I734" s="67"/>
    </row>
    <row r="735" spans="1:9" x14ac:dyDescent="0.3">
      <c r="A735" s="52" t="s">
        <v>785</v>
      </c>
      <c r="B735" s="52" t="s">
        <v>764</v>
      </c>
      <c r="C735" s="52" t="s">
        <v>765</v>
      </c>
      <c r="D735" s="67"/>
      <c r="E735" s="67"/>
      <c r="F735" s="67"/>
      <c r="G735" s="67"/>
      <c r="H735" s="67"/>
      <c r="I735" s="67"/>
    </row>
    <row r="736" spans="1:9" x14ac:dyDescent="0.3">
      <c r="A736" s="67" t="s">
        <v>768</v>
      </c>
      <c r="B736" s="67" t="s">
        <v>119</v>
      </c>
      <c r="C736" s="67" t="s">
        <v>786</v>
      </c>
      <c r="D736" s="67"/>
      <c r="E736" s="67"/>
      <c r="F736" s="67"/>
      <c r="G736" s="67"/>
      <c r="H736" s="67"/>
      <c r="I736" s="67"/>
    </row>
    <row r="737" spans="1:9" x14ac:dyDescent="0.3">
      <c r="A737" s="67" t="s">
        <v>770</v>
      </c>
      <c r="B737" s="67" t="s">
        <v>787</v>
      </c>
      <c r="C737" s="67" t="s">
        <v>46</v>
      </c>
      <c r="D737" s="67"/>
      <c r="E737" s="67"/>
      <c r="F737" s="67"/>
      <c r="G737" s="67"/>
      <c r="H737" s="67"/>
      <c r="I737" s="67"/>
    </row>
    <row r="738" spans="1:9" x14ac:dyDescent="0.3">
      <c r="A738" s="67" t="s">
        <v>773</v>
      </c>
      <c r="B738" s="67" t="s">
        <v>92</v>
      </c>
      <c r="C738" s="67" t="s">
        <v>90</v>
      </c>
      <c r="D738" s="67"/>
      <c r="E738" s="67"/>
      <c r="F738" s="67"/>
      <c r="G738" s="67"/>
      <c r="H738" s="67"/>
      <c r="I738" s="67"/>
    </row>
    <row r="739" spans="1:9" x14ac:dyDescent="0.3">
      <c r="A739" s="67" t="s">
        <v>775</v>
      </c>
      <c r="B739" s="67" t="s">
        <v>90</v>
      </c>
      <c r="C739" s="67" t="s">
        <v>90</v>
      </c>
      <c r="D739" s="67"/>
      <c r="E739" s="67"/>
      <c r="F739" s="67"/>
      <c r="G739" s="67"/>
      <c r="H739" s="67"/>
      <c r="I739" s="67"/>
    </row>
    <row r="740" spans="1:9" x14ac:dyDescent="0.3">
      <c r="A740" s="67" t="s">
        <v>116</v>
      </c>
      <c r="B740" s="67" t="s">
        <v>788</v>
      </c>
      <c r="C740" s="67" t="s">
        <v>94</v>
      </c>
      <c r="D740" s="67"/>
      <c r="E740" s="67"/>
      <c r="F740" s="67"/>
      <c r="G740" s="67"/>
      <c r="H740" s="67"/>
      <c r="I740" s="67"/>
    </row>
    <row r="742" spans="1:9" x14ac:dyDescent="0.3">
      <c r="B742" s="75" t="str">
        <f ca="1">_xlfn.FORMULATEXT(C725)</f>
        <v>=SWITCH(B725,$A$736,$B$736,$A$737,$B$737,$A$738,$B$738,$A$739,$B$739,$A$740,$B$740,"Unknown")</v>
      </c>
      <c r="C742" s="75"/>
      <c r="D742" s="75"/>
    </row>
    <row r="743" spans="1:9" x14ac:dyDescent="0.3">
      <c r="B743" s="75" t="str">
        <f ca="1">_xlfn.FORMULATEXT(D725)</f>
        <v>=SWITCH(B725,$A$736,$C$736,$A$737,$C$737,$A$738,$C$738,$A$739,$C$739,$A$740,$C$740,"Unknown")</v>
      </c>
      <c r="C743" s="75"/>
      <c r="D743" s="75"/>
    </row>
    <row r="744" spans="1:9" x14ac:dyDescent="0.3">
      <c r="A744" s="67"/>
      <c r="B744" s="2"/>
      <c r="C744" s="2"/>
      <c r="D744" s="2"/>
    </row>
    <row r="745" spans="1:9" x14ac:dyDescent="0.3">
      <c r="A745" s="22" t="s">
        <v>789</v>
      </c>
      <c r="B745" s="2"/>
      <c r="C745" s="2"/>
      <c r="D745" s="2"/>
    </row>
    <row r="746" spans="1:9" x14ac:dyDescent="0.3">
      <c r="A746" s="67" t="s">
        <v>790</v>
      </c>
    </row>
    <row r="747" spans="1:9" ht="31.2" x14ac:dyDescent="0.3">
      <c r="A747" s="67" t="s">
        <v>946</v>
      </c>
    </row>
    <row r="748" spans="1:9" ht="31.2" x14ac:dyDescent="0.3">
      <c r="A748" s="67" t="s">
        <v>947</v>
      </c>
    </row>
    <row r="749" spans="1:9" x14ac:dyDescent="0.3">
      <c r="A749" s="67" t="s">
        <v>948</v>
      </c>
    </row>
    <row r="750" spans="1:9" x14ac:dyDescent="0.3">
      <c r="A750" s="67"/>
    </row>
    <row r="751" spans="1:9" x14ac:dyDescent="0.3">
      <c r="A751" s="67" t="s">
        <v>791</v>
      </c>
      <c r="B751" s="67" t="s">
        <v>792</v>
      </c>
      <c r="C751" s="67" t="s">
        <v>793</v>
      </c>
    </row>
    <row r="752" spans="1:9" x14ac:dyDescent="0.3">
      <c r="A752" s="67">
        <v>8</v>
      </c>
      <c r="B752" s="67">
        <v>10</v>
      </c>
      <c r="C752" s="28">
        <f>IFERROR(B752/A752,0)</f>
        <v>1.25</v>
      </c>
    </row>
    <row r="753" spans="1:3" x14ac:dyDescent="0.3">
      <c r="A753" s="67">
        <v>2</v>
      </c>
      <c r="B753" s="67">
        <v>20</v>
      </c>
      <c r="C753" s="28">
        <f t="shared" ref="C753:C754" si="26">IFERROR(B753/A753,0)</f>
        <v>10</v>
      </c>
    </row>
    <row r="754" spans="1:3" x14ac:dyDescent="0.3">
      <c r="A754" s="67">
        <v>0</v>
      </c>
      <c r="B754" s="67">
        <v>5</v>
      </c>
      <c r="C754" s="28">
        <f t="shared" si="26"/>
        <v>0</v>
      </c>
    </row>
    <row r="755" spans="1:3" x14ac:dyDescent="0.3">
      <c r="A755" s="67"/>
    </row>
    <row r="756" spans="1:3" x14ac:dyDescent="0.3">
      <c r="A756" s="67"/>
      <c r="B756" s="75" t="str">
        <f ca="1">_xlfn.FORMULATEXT(C752)</f>
        <v>=IFERROR(B752/A752,0)</v>
      </c>
      <c r="C756" s="75"/>
    </row>
    <row r="757" spans="1:3" x14ac:dyDescent="0.3">
      <c r="A757" s="67"/>
    </row>
    <row r="758" spans="1:3" x14ac:dyDescent="0.3">
      <c r="A758" s="22" t="s">
        <v>794</v>
      </c>
    </row>
    <row r="759" spans="1:3" ht="187.2" x14ac:dyDescent="0.3">
      <c r="A759" s="67" t="s">
        <v>795</v>
      </c>
    </row>
    <row r="760" spans="1:3" ht="234" x14ac:dyDescent="0.3">
      <c r="A760" s="67" t="s">
        <v>796</v>
      </c>
    </row>
    <row r="761" spans="1:3" x14ac:dyDescent="0.3">
      <c r="A761" s="67"/>
      <c r="B761" s="65"/>
      <c r="C761" s="67" t="s">
        <v>797</v>
      </c>
    </row>
    <row r="762" spans="1:3" x14ac:dyDescent="0.3">
      <c r="A762" s="67" t="s">
        <v>798</v>
      </c>
      <c r="B762" s="65" t="e">
        <v>#DIV/0!</v>
      </c>
      <c r="C762" s="28" t="str">
        <f>IF(ISERROR(B762),"Error","Not Error")</f>
        <v>Error</v>
      </c>
    </row>
    <row r="763" spans="1:3" x14ac:dyDescent="0.3">
      <c r="A763" s="67" t="s">
        <v>799</v>
      </c>
      <c r="B763" s="65">
        <v>10</v>
      </c>
      <c r="C763" s="28" t="str">
        <f>IF(ISERROR(B763),"Error","Not Error")</f>
        <v>Not Error</v>
      </c>
    </row>
    <row r="764" spans="1:3" x14ac:dyDescent="0.3">
      <c r="A764" s="67"/>
      <c r="B764" s="66"/>
    </row>
    <row r="765" spans="1:3" x14ac:dyDescent="0.3">
      <c r="A765" s="67"/>
      <c r="C765" s="3" t="str">
        <f ca="1">_xlfn.FORMULATEXT(C762)</f>
        <v>=IF(ISERROR(B762),"Error","Not Error")</v>
      </c>
    </row>
    <row r="766" spans="1:3" x14ac:dyDescent="0.3">
      <c r="A766" s="67"/>
    </row>
    <row r="767" spans="1:3" x14ac:dyDescent="0.3">
      <c r="A767" s="22" t="s">
        <v>800</v>
      </c>
    </row>
    <row r="768" spans="1:3" ht="171.6" x14ac:dyDescent="0.3">
      <c r="A768" s="67" t="s">
        <v>801</v>
      </c>
    </row>
    <row r="769" spans="1:5" x14ac:dyDescent="0.3">
      <c r="A769" s="67"/>
    </row>
    <row r="770" spans="1:5" x14ac:dyDescent="0.3">
      <c r="A770" s="67"/>
      <c r="B770" s="67" t="s">
        <v>30</v>
      </c>
      <c r="C770" s="67" t="s">
        <v>802</v>
      </c>
      <c r="D770" s="67" t="s">
        <v>803</v>
      </c>
    </row>
    <row r="771" spans="1:5" x14ac:dyDescent="0.3">
      <c r="A771" s="67" t="s">
        <v>804</v>
      </c>
      <c r="B771" s="67" t="e">
        <v>#DIV/0!</v>
      </c>
      <c r="C771" s="67" t="b">
        <v>1</v>
      </c>
      <c r="D771" s="8" t="b">
        <f>NOT(ISERROR(B771))</f>
        <v>0</v>
      </c>
    </row>
    <row r="772" spans="1:5" x14ac:dyDescent="0.3">
      <c r="A772" s="67" t="s">
        <v>805</v>
      </c>
      <c r="B772" s="67" t="s">
        <v>805</v>
      </c>
      <c r="C772" s="67" t="b">
        <v>0</v>
      </c>
      <c r="D772" s="8" t="b">
        <f>NOT(ISERROR(B772))</f>
        <v>1</v>
      </c>
    </row>
    <row r="773" spans="1:5" x14ac:dyDescent="0.3">
      <c r="A773" s="67"/>
    </row>
    <row r="774" spans="1:5" x14ac:dyDescent="0.3">
      <c r="A774" s="67"/>
      <c r="D774" s="2" t="str">
        <f ca="1">_xlfn.FORMULATEXT(D771)</f>
        <v>=NOT(ISERROR(B771))</v>
      </c>
    </row>
    <row r="775" spans="1:5" x14ac:dyDescent="0.3">
      <c r="A775" s="67"/>
    </row>
    <row r="776" spans="1:5" x14ac:dyDescent="0.3">
      <c r="A776" s="22" t="s">
        <v>806</v>
      </c>
    </row>
    <row r="777" spans="1:5" ht="31.2" x14ac:dyDescent="0.3">
      <c r="A777" s="67" t="s">
        <v>807</v>
      </c>
    </row>
    <row r="778" spans="1:5" x14ac:dyDescent="0.3">
      <c r="A778" s="67"/>
    </row>
    <row r="779" spans="1:5" ht="31.2" x14ac:dyDescent="0.3">
      <c r="A779" s="67" t="s">
        <v>808</v>
      </c>
    </row>
    <row r="780" spans="1:5" x14ac:dyDescent="0.3">
      <c r="A780" s="67"/>
    </row>
    <row r="781" spans="1:5" ht="46.8" x14ac:dyDescent="0.3">
      <c r="A781" s="67" t="s">
        <v>826</v>
      </c>
    </row>
    <row r="782" spans="1:5" x14ac:dyDescent="0.3">
      <c r="A782" s="67"/>
    </row>
    <row r="783" spans="1:5" x14ac:dyDescent="0.3">
      <c r="A783" s="53" t="s">
        <v>362</v>
      </c>
      <c r="B783" s="53" t="s">
        <v>809</v>
      </c>
      <c r="C783" s="53" t="s">
        <v>810</v>
      </c>
      <c r="D783" s="53" t="s">
        <v>811</v>
      </c>
      <c r="E783" s="67"/>
    </row>
    <row r="784" spans="1:5" x14ac:dyDescent="0.3">
      <c r="A784" s="67" t="s">
        <v>812</v>
      </c>
      <c r="B784" s="67">
        <v>10000</v>
      </c>
      <c r="C784" s="67">
        <v>10000</v>
      </c>
      <c r="D784" s="67"/>
      <c r="E784" s="67"/>
    </row>
    <row r="785" spans="1:5" x14ac:dyDescent="0.3">
      <c r="A785" s="67" t="s">
        <v>813</v>
      </c>
      <c r="B785" s="67">
        <v>620</v>
      </c>
      <c r="C785" s="67">
        <v>710</v>
      </c>
      <c r="D785" s="67"/>
      <c r="E785" s="67"/>
    </row>
    <row r="786" spans="1:5" x14ac:dyDescent="0.3">
      <c r="A786" s="67" t="s">
        <v>814</v>
      </c>
      <c r="B786" s="8">
        <f>B785/B784</f>
        <v>6.2E-2</v>
      </c>
      <c r="C786" s="8">
        <f>C785/C784</f>
        <v>7.0999999999999994E-2</v>
      </c>
      <c r="D786" s="67"/>
      <c r="E786" s="67"/>
    </row>
    <row r="787" spans="1:5" x14ac:dyDescent="0.3">
      <c r="A787" s="67" t="s">
        <v>815</v>
      </c>
      <c r="B787" s="54">
        <f>SQRT(B786*(1-B786)/B784)</f>
        <v>2.411555514600483E-3</v>
      </c>
      <c r="C787" s="8">
        <f>SQRT(C786*(1-C786)/C784)</f>
        <v>2.5682484303509272E-3</v>
      </c>
      <c r="D787" s="55" t="s">
        <v>816</v>
      </c>
      <c r="E787" s="67"/>
    </row>
    <row r="788" spans="1:5" x14ac:dyDescent="0.3">
      <c r="A788" s="67"/>
      <c r="B788" s="67"/>
      <c r="C788" s="67"/>
      <c r="D788" s="67"/>
      <c r="E788" s="67"/>
    </row>
    <row r="789" spans="1:5" x14ac:dyDescent="0.3">
      <c r="A789" s="53" t="s">
        <v>817</v>
      </c>
      <c r="B789" s="53"/>
      <c r="C789" s="53" t="s">
        <v>811</v>
      </c>
      <c r="D789" s="67"/>
      <c r="E789" s="67"/>
    </row>
    <row r="790" spans="1:5" x14ac:dyDescent="0.3">
      <c r="A790" s="67" t="s">
        <v>818</v>
      </c>
      <c r="B790" s="8">
        <f>(C786-B786)/B786</f>
        <v>0.14516129032258054</v>
      </c>
      <c r="C790" s="55" t="s">
        <v>819</v>
      </c>
      <c r="D790" s="67"/>
      <c r="E790" s="67"/>
    </row>
    <row r="791" spans="1:5" x14ac:dyDescent="0.3">
      <c r="A791" s="67" t="s">
        <v>820</v>
      </c>
      <c r="B791" s="8">
        <f>SQRT(((B785+C785)/(B784+C784))*(1-((B785+C785)/(B784+C784)))*(1/B784+1/C784))</f>
        <v>3.5235706321854825E-3</v>
      </c>
      <c r="C791" s="55" t="s">
        <v>821</v>
      </c>
      <c r="D791" s="67"/>
      <c r="E791" s="67"/>
    </row>
    <row r="792" spans="1:5" x14ac:dyDescent="0.3">
      <c r="A792" s="67" t="s">
        <v>822</v>
      </c>
      <c r="B792" s="8">
        <f>(C786-B786)/B791</f>
        <v>2.554227214232903</v>
      </c>
      <c r="C792" s="55" t="s">
        <v>823</v>
      </c>
      <c r="D792" s="67"/>
      <c r="E792" s="67"/>
    </row>
    <row r="793" spans="1:5" x14ac:dyDescent="0.3">
      <c r="A793" s="67" t="s">
        <v>824</v>
      </c>
      <c r="B793" s="8" t="str">
        <f>IF(ABS(B792)&gt;1.96,"Yes","No")</f>
        <v>Yes</v>
      </c>
      <c r="C793" s="55" t="s">
        <v>825</v>
      </c>
      <c r="D793" s="67"/>
      <c r="E793" s="67"/>
    </row>
    <row r="794" spans="1:5" x14ac:dyDescent="0.3">
      <c r="A794" s="67"/>
    </row>
    <row r="795" spans="1:5" x14ac:dyDescent="0.3">
      <c r="A795" s="67"/>
      <c r="B795" s="3" t="str">
        <f ca="1">_xlfn.FORMULATEXT(B787)</f>
        <v>=SQRT(B786*(1-B786)/B784)</v>
      </c>
    </row>
    <row r="796" spans="1:5" x14ac:dyDescent="0.3">
      <c r="A796" s="67"/>
    </row>
    <row r="797" spans="1:5" x14ac:dyDescent="0.3">
      <c r="A797" s="22" t="s">
        <v>827</v>
      </c>
    </row>
    <row r="798" spans="1:5" ht="31.2" x14ac:dyDescent="0.3">
      <c r="A798" s="67" t="s">
        <v>828</v>
      </c>
    </row>
    <row r="799" spans="1:5" x14ac:dyDescent="0.3">
      <c r="A799" s="67"/>
    </row>
    <row r="800" spans="1:5" ht="46.8" x14ac:dyDescent="0.3">
      <c r="A800" s="67" t="s">
        <v>834</v>
      </c>
    </row>
    <row r="801" spans="1:3" x14ac:dyDescent="0.3">
      <c r="A801" s="67" t="s">
        <v>829</v>
      </c>
    </row>
    <row r="802" spans="1:3" x14ac:dyDescent="0.3">
      <c r="A802" s="67" t="s">
        <v>832</v>
      </c>
    </row>
    <row r="803" spans="1:3" x14ac:dyDescent="0.3">
      <c r="A803" s="67" t="s">
        <v>830</v>
      </c>
    </row>
    <row r="804" spans="1:3" x14ac:dyDescent="0.3">
      <c r="A804" s="67" t="s">
        <v>835</v>
      </c>
    </row>
    <row r="805" spans="1:3" x14ac:dyDescent="0.3">
      <c r="A805" s="67" t="s">
        <v>836</v>
      </c>
    </row>
    <row r="806" spans="1:3" x14ac:dyDescent="0.3">
      <c r="A806" s="67" t="s">
        <v>837</v>
      </c>
    </row>
    <row r="807" spans="1:3" x14ac:dyDescent="0.3">
      <c r="A807" s="67" t="s">
        <v>831</v>
      </c>
    </row>
    <row r="808" spans="1:3" x14ac:dyDescent="0.3">
      <c r="A808" s="67" t="s">
        <v>833</v>
      </c>
    </row>
    <row r="809" spans="1:3" x14ac:dyDescent="0.3">
      <c r="A809" s="67"/>
    </row>
    <row r="810" spans="1:3" x14ac:dyDescent="0.3">
      <c r="A810" s="10" t="s">
        <v>73</v>
      </c>
      <c r="B810" s="10" t="s">
        <v>838</v>
      </c>
      <c r="C810" s="10" t="s">
        <v>839</v>
      </c>
    </row>
    <row r="811" spans="1:3" x14ac:dyDescent="0.3">
      <c r="A811" s="67" t="s">
        <v>75</v>
      </c>
      <c r="B811" s="67">
        <v>50</v>
      </c>
      <c r="C811" s="67">
        <v>24</v>
      </c>
    </row>
    <row r="812" spans="1:3" x14ac:dyDescent="0.3">
      <c r="A812" s="67" t="s">
        <v>76</v>
      </c>
      <c r="B812" s="67">
        <v>60</v>
      </c>
      <c r="C812" s="67">
        <v>20</v>
      </c>
    </row>
    <row r="813" spans="1:3" x14ac:dyDescent="0.3">
      <c r="A813" s="67" t="s">
        <v>77</v>
      </c>
      <c r="B813" s="67">
        <v>0</v>
      </c>
      <c r="C813" s="67" t="e">
        <v>#DIV/0!</v>
      </c>
    </row>
    <row r="814" spans="1:3" x14ac:dyDescent="0.3">
      <c r="A814" s="67" t="s">
        <v>78</v>
      </c>
      <c r="B814" s="67">
        <v>40</v>
      </c>
      <c r="C814" s="67">
        <v>30</v>
      </c>
    </row>
    <row r="815" spans="1:3" x14ac:dyDescent="0.3">
      <c r="A815" s="67" t="s">
        <v>79</v>
      </c>
      <c r="B815" s="67">
        <v>80</v>
      </c>
      <c r="C815" s="67">
        <v>15</v>
      </c>
    </row>
    <row r="816" spans="1:3" x14ac:dyDescent="0.3">
      <c r="A816" s="67" t="s">
        <v>80</v>
      </c>
      <c r="B816" s="67">
        <v>0</v>
      </c>
      <c r="C816" s="67" t="e">
        <v>#DIV/0!</v>
      </c>
    </row>
    <row r="817" spans="1:3" x14ac:dyDescent="0.3">
      <c r="A817" s="67" t="s">
        <v>81</v>
      </c>
      <c r="B817" s="67" t="s">
        <v>840</v>
      </c>
      <c r="C817" s="67" t="e">
        <v>#VALUE!</v>
      </c>
    </row>
    <row r="818" spans="1:3" x14ac:dyDescent="0.3">
      <c r="A818" s="67" t="s">
        <v>82</v>
      </c>
      <c r="B818" s="67">
        <v>30</v>
      </c>
      <c r="C818" s="67">
        <v>40</v>
      </c>
    </row>
    <row r="819" spans="1:3" x14ac:dyDescent="0.3">
      <c r="A819" s="67" t="s">
        <v>841</v>
      </c>
      <c r="B819" s="67">
        <v>100</v>
      </c>
      <c r="C819" s="67">
        <v>12</v>
      </c>
    </row>
    <row r="820" spans="1:3" x14ac:dyDescent="0.3">
      <c r="A820" s="67" t="s">
        <v>842</v>
      </c>
      <c r="B820" s="67">
        <v>75</v>
      </c>
      <c r="C820" s="67">
        <v>16</v>
      </c>
    </row>
    <row r="821" spans="1:3" x14ac:dyDescent="0.3">
      <c r="A821" s="67" t="s">
        <v>843</v>
      </c>
      <c r="B821" s="67">
        <v>25</v>
      </c>
      <c r="C821" s="67">
        <v>48</v>
      </c>
    </row>
    <row r="822" spans="1:3" x14ac:dyDescent="0.3">
      <c r="A822" s="67"/>
      <c r="B822" s="67"/>
      <c r="C822" s="67"/>
    </row>
    <row r="823" spans="1:3" x14ac:dyDescent="0.3">
      <c r="A823" s="67" t="s">
        <v>844</v>
      </c>
      <c r="B823" s="8" t="e">
        <f>AVERAGE(C811:C821)</f>
        <v>#DIV/0!</v>
      </c>
      <c r="C823" s="67" t="str">
        <f ca="1">_xlfn.FORMULATEXT(B823)</f>
        <v>=AVERAGE(C811:C821)</v>
      </c>
    </row>
    <row r="824" spans="1:3" x14ac:dyDescent="0.3">
      <c r="A824" s="67" t="s">
        <v>845</v>
      </c>
      <c r="B824" s="8">
        <f>_xlfn.AGGREGATE(1,6,C811:C821)</f>
        <v>25.625</v>
      </c>
      <c r="C824" s="67" t="str">
        <f ca="1">_xlfn.FORMULATEXT(B824)</f>
        <v>=AGGREGATE(1,6,C811:C821)</v>
      </c>
    </row>
    <row r="825" spans="1:3" x14ac:dyDescent="0.3">
      <c r="A825" s="67" t="s">
        <v>846</v>
      </c>
      <c r="B825" s="8">
        <f>_xlfn.AGGREGATE(2,6,C811:C821)</f>
        <v>8</v>
      </c>
      <c r="C825" s="67" t="str">
        <f ca="1">_xlfn.FORMULATEXT(B825)</f>
        <v>=AGGREGATE(2,6,C811:C821)</v>
      </c>
    </row>
    <row r="826" spans="1:3" x14ac:dyDescent="0.3">
      <c r="A826" s="67"/>
    </row>
    <row r="827" spans="1:3" x14ac:dyDescent="0.3">
      <c r="A827" s="22" t="s">
        <v>847</v>
      </c>
    </row>
    <row r="828" spans="1:3" ht="31.2" x14ac:dyDescent="0.3">
      <c r="A828" s="67" t="s">
        <v>848</v>
      </c>
    </row>
    <row r="829" spans="1:3" x14ac:dyDescent="0.3">
      <c r="A829" s="67"/>
    </row>
    <row r="830" spans="1:3" x14ac:dyDescent="0.3">
      <c r="A830" s="67" t="s">
        <v>849</v>
      </c>
    </row>
    <row r="831" spans="1:3" x14ac:dyDescent="0.3">
      <c r="A831" s="67"/>
    </row>
    <row r="832" spans="1:3" x14ac:dyDescent="0.3">
      <c r="A832" s="67" t="s">
        <v>857</v>
      </c>
    </row>
    <row r="833" spans="1:5" x14ac:dyDescent="0.3">
      <c r="A833" s="67" t="s">
        <v>858</v>
      </c>
    </row>
    <row r="834" spans="1:5" x14ac:dyDescent="0.3">
      <c r="A834" s="67" t="s">
        <v>859</v>
      </c>
    </row>
    <row r="835" spans="1:5" x14ac:dyDescent="0.3">
      <c r="A835" s="67"/>
    </row>
    <row r="836" spans="1:5" x14ac:dyDescent="0.3">
      <c r="A836" s="67" t="s">
        <v>850</v>
      </c>
    </row>
    <row r="837" spans="1:5" ht="156" x14ac:dyDescent="0.3">
      <c r="A837" s="67" t="s">
        <v>851</v>
      </c>
    </row>
    <row r="838" spans="1:5" x14ac:dyDescent="0.3">
      <c r="A838" s="67"/>
    </row>
    <row r="839" spans="1:5" x14ac:dyDescent="0.3">
      <c r="A839" s="10" t="s">
        <v>46</v>
      </c>
      <c r="B839" s="10" t="s">
        <v>852</v>
      </c>
      <c r="C839" s="56" t="s">
        <v>853</v>
      </c>
      <c r="D839" s="10" t="s">
        <v>854</v>
      </c>
      <c r="E839" s="10" t="s">
        <v>855</v>
      </c>
    </row>
    <row r="840" spans="1:5" x14ac:dyDescent="0.3">
      <c r="A840" s="67" t="s">
        <v>614</v>
      </c>
      <c r="B840" s="67">
        <v>1200</v>
      </c>
      <c r="C840" s="57">
        <v>1450</v>
      </c>
      <c r="D840" s="67" t="e">
        <v>#N/A</v>
      </c>
      <c r="E840" s="67">
        <v>1600</v>
      </c>
    </row>
    <row r="841" spans="1:5" x14ac:dyDescent="0.3">
      <c r="A841" s="67" t="s">
        <v>615</v>
      </c>
      <c r="B841" s="67">
        <v>850</v>
      </c>
      <c r="C841" s="57" t="e">
        <v>#N/A</v>
      </c>
      <c r="D841" s="67">
        <v>920</v>
      </c>
      <c r="E841" s="67">
        <v>1100</v>
      </c>
    </row>
    <row r="842" spans="1:5" x14ac:dyDescent="0.3">
      <c r="A842" s="67" t="s">
        <v>617</v>
      </c>
      <c r="B842" s="67">
        <v>2100</v>
      </c>
      <c r="C842" s="57">
        <v>2300</v>
      </c>
      <c r="D842" s="67">
        <v>2150</v>
      </c>
      <c r="E842" s="67" t="e">
        <v>#N/A</v>
      </c>
    </row>
    <row r="843" spans="1:5" x14ac:dyDescent="0.3">
      <c r="A843" s="67" t="s">
        <v>618</v>
      </c>
      <c r="B843" s="67">
        <v>1500</v>
      </c>
      <c r="C843" s="57">
        <v>1650</v>
      </c>
      <c r="D843" s="67">
        <v>1800</v>
      </c>
      <c r="E843" s="67">
        <v>1950</v>
      </c>
    </row>
    <row r="844" spans="1:5" x14ac:dyDescent="0.3">
      <c r="A844" s="67" t="s">
        <v>620</v>
      </c>
      <c r="B844" s="67" t="e">
        <v>#N/A</v>
      </c>
      <c r="C844" s="57">
        <v>780</v>
      </c>
      <c r="D844" s="67">
        <v>850</v>
      </c>
      <c r="E844" s="67">
        <v>920</v>
      </c>
    </row>
    <row r="845" spans="1:5" x14ac:dyDescent="0.3">
      <c r="A845" s="67"/>
      <c r="B845" s="67"/>
      <c r="C845" s="67"/>
      <c r="D845" s="67"/>
      <c r="E845" s="67"/>
    </row>
    <row r="846" spans="1:5" x14ac:dyDescent="0.3">
      <c r="A846" s="67" t="s">
        <v>856</v>
      </c>
      <c r="B846" s="67"/>
      <c r="C846" s="28">
        <f>_xlfn.AGGREGATE(9,6,C840:C844)</f>
        <v>6180</v>
      </c>
      <c r="D846" s="67"/>
      <c r="E846" s="67"/>
    </row>
    <row r="847" spans="1:5" x14ac:dyDescent="0.3">
      <c r="A847" s="67"/>
      <c r="B847" s="67"/>
      <c r="C847" s="67" t="str">
        <f ca="1">_xlfn.FORMULATEXT(C846)</f>
        <v>=AGGREGATE(9,6,C840:C844)</v>
      </c>
      <c r="D847" s="67"/>
      <c r="E847" s="67"/>
    </row>
    <row r="848" spans="1:5" x14ac:dyDescent="0.3">
      <c r="A848" s="67"/>
    </row>
    <row r="849" spans="1:7" x14ac:dyDescent="0.3">
      <c r="A849" s="22" t="s">
        <v>860</v>
      </c>
    </row>
    <row r="850" spans="1:7" ht="31.2" x14ac:dyDescent="0.3">
      <c r="A850" s="67" t="s">
        <v>861</v>
      </c>
    </row>
    <row r="851" spans="1:7" x14ac:dyDescent="0.3">
      <c r="A851" s="67" t="s">
        <v>862</v>
      </c>
    </row>
    <row r="852" spans="1:7" x14ac:dyDescent="0.3">
      <c r="A852" s="30" t="s">
        <v>863</v>
      </c>
    </row>
    <row r="853" spans="1:7" x14ac:dyDescent="0.3">
      <c r="A853" s="30" t="s">
        <v>864</v>
      </c>
    </row>
    <row r="854" spans="1:7" x14ac:dyDescent="0.3">
      <c r="A854" s="20"/>
    </row>
    <row r="855" spans="1:7" x14ac:dyDescent="0.3">
      <c r="A855" s="67" t="s">
        <v>865</v>
      </c>
    </row>
    <row r="856" spans="1:7" x14ac:dyDescent="0.3">
      <c r="A856" s="30" t="s">
        <v>886</v>
      </c>
    </row>
    <row r="857" spans="1:7" x14ac:dyDescent="0.3">
      <c r="A857" s="30" t="s">
        <v>887</v>
      </c>
    </row>
    <row r="858" spans="1:7" x14ac:dyDescent="0.3">
      <c r="A858" s="30" t="s">
        <v>888</v>
      </c>
    </row>
    <row r="859" spans="1:7" x14ac:dyDescent="0.3">
      <c r="A859" s="30" t="s">
        <v>889</v>
      </c>
    </row>
    <row r="860" spans="1:7" ht="218.4" x14ac:dyDescent="0.3">
      <c r="A860" s="67" t="s">
        <v>885</v>
      </c>
    </row>
    <row r="861" spans="1:7" x14ac:dyDescent="0.3">
      <c r="A861" s="67"/>
    </row>
    <row r="862" spans="1:7" x14ac:dyDescent="0.3">
      <c r="A862" s="10" t="s">
        <v>866</v>
      </c>
      <c r="B862" s="10" t="s">
        <v>867</v>
      </c>
      <c r="C862" s="10" t="s">
        <v>868</v>
      </c>
      <c r="D862" s="10" t="s">
        <v>869</v>
      </c>
      <c r="E862" s="10" t="s">
        <v>870</v>
      </c>
      <c r="F862" s="10" t="s">
        <v>871</v>
      </c>
      <c r="G862" s="10" t="s">
        <v>872</v>
      </c>
    </row>
    <row r="863" spans="1:7" x14ac:dyDescent="0.3">
      <c r="A863" s="67" t="s">
        <v>873</v>
      </c>
      <c r="B863" s="67" t="s">
        <v>874</v>
      </c>
      <c r="C863" s="21">
        <v>45611</v>
      </c>
      <c r="D863" s="67">
        <v>2500</v>
      </c>
      <c r="E863" s="21">
        <v>45646</v>
      </c>
      <c r="F863" s="58">
        <f>E863-C863</f>
        <v>35</v>
      </c>
      <c r="G863" s="28" t="str">
        <f>IF(F863&lt;=30,"Current",IF(F863&lt;=60,"Slightly overdue",IF(F863&lt;=90,"Moderately overdue","Seriously overdue")))</f>
        <v>Slightly overdue</v>
      </c>
    </row>
    <row r="864" spans="1:7" x14ac:dyDescent="0.3">
      <c r="A864" s="67" t="s">
        <v>875</v>
      </c>
      <c r="B864" s="67" t="s">
        <v>876</v>
      </c>
      <c r="C864" s="21">
        <v>45590</v>
      </c>
      <c r="D864" s="67">
        <v>1800</v>
      </c>
      <c r="E864" s="21">
        <v>45646</v>
      </c>
      <c r="F864" s="58">
        <f t="shared" ref="F864:F868" si="27">E864-C864</f>
        <v>56</v>
      </c>
      <c r="G864" s="28" t="str">
        <f t="shared" ref="G864:G868" si="28">IF(F864&lt;=30,"Current",IF(F864&lt;=60,"Slightly overdue",IF(F864&lt;=90,"Moderately overdue","Seriously overdue")))</f>
        <v>Slightly overdue</v>
      </c>
    </row>
    <row r="865" spans="1:9" x14ac:dyDescent="0.3">
      <c r="A865" s="67" t="s">
        <v>877</v>
      </c>
      <c r="B865" s="67" t="s">
        <v>878</v>
      </c>
      <c r="C865" s="21">
        <v>45631</v>
      </c>
      <c r="D865" s="67">
        <v>3200</v>
      </c>
      <c r="E865" s="21">
        <v>45646</v>
      </c>
      <c r="F865" s="58">
        <f t="shared" si="27"/>
        <v>15</v>
      </c>
      <c r="G865" s="28" t="str">
        <f t="shared" si="28"/>
        <v>Current</v>
      </c>
    </row>
    <row r="866" spans="1:9" x14ac:dyDescent="0.3">
      <c r="A866" s="67" t="s">
        <v>879</v>
      </c>
      <c r="B866" s="67" t="s">
        <v>880</v>
      </c>
      <c r="C866" s="21">
        <v>45545</v>
      </c>
      <c r="D866" s="67">
        <v>4100</v>
      </c>
      <c r="E866" s="21">
        <v>45646</v>
      </c>
      <c r="F866" s="58">
        <f t="shared" si="27"/>
        <v>101</v>
      </c>
      <c r="G866" s="28" t="str">
        <f t="shared" si="28"/>
        <v>Seriously overdue</v>
      </c>
    </row>
    <row r="867" spans="1:9" x14ac:dyDescent="0.3">
      <c r="A867" s="67" t="s">
        <v>881</v>
      </c>
      <c r="B867" s="67" t="s">
        <v>882</v>
      </c>
      <c r="C867" s="21">
        <v>45624</v>
      </c>
      <c r="D867" s="67">
        <v>950</v>
      </c>
      <c r="E867" s="21">
        <v>45646</v>
      </c>
      <c r="F867" s="58">
        <f t="shared" si="27"/>
        <v>22</v>
      </c>
      <c r="G867" s="28" t="str">
        <f t="shared" si="28"/>
        <v>Current</v>
      </c>
    </row>
    <row r="868" spans="1:9" x14ac:dyDescent="0.3">
      <c r="A868" s="67" t="s">
        <v>883</v>
      </c>
      <c r="B868" s="67" t="s">
        <v>884</v>
      </c>
      <c r="C868" s="21">
        <v>45566</v>
      </c>
      <c r="D868" s="67">
        <v>2750</v>
      </c>
      <c r="E868" s="21">
        <v>45646</v>
      </c>
      <c r="F868" s="58">
        <f t="shared" si="27"/>
        <v>80</v>
      </c>
      <c r="G868" s="28" t="str">
        <f t="shared" si="28"/>
        <v>Moderately overdue</v>
      </c>
    </row>
    <row r="869" spans="1:9" x14ac:dyDescent="0.3">
      <c r="A869" s="67"/>
      <c r="F869" s="3" t="str">
        <f ca="1">_xlfn.FORMULATEXT(F868)</f>
        <v>=E868-C868</v>
      </c>
      <c r="G869" s="72" t="str">
        <f ca="1">_xlfn.FORMULATEXT(G868)</f>
        <v>=IF(F868&lt;=30,"Current",IF(F868&lt;=60,"Slightly overdue",IF(F868&lt;=90,"Moderately overdue","Seriously overdue")))</v>
      </c>
      <c r="H869" s="72"/>
      <c r="I869" s="72"/>
    </row>
    <row r="870" spans="1:9" x14ac:dyDescent="0.3">
      <c r="A870" s="67"/>
      <c r="G870" s="72"/>
      <c r="H870" s="72"/>
      <c r="I870" s="72"/>
    </row>
    <row r="871" spans="1:9" x14ac:dyDescent="0.3">
      <c r="A871" s="67"/>
    </row>
    <row r="872" spans="1:9" x14ac:dyDescent="0.3">
      <c r="A872" s="22" t="s">
        <v>890</v>
      </c>
    </row>
    <row r="873" spans="1:9" ht="234" x14ac:dyDescent="0.3">
      <c r="A873" s="67" t="s">
        <v>891</v>
      </c>
    </row>
    <row r="874" spans="1:9" x14ac:dyDescent="0.3">
      <c r="A874" s="13" t="s">
        <v>892</v>
      </c>
      <c r="B874" s="59">
        <v>45731</v>
      </c>
      <c r="C874" s="67"/>
      <c r="D874" s="67"/>
      <c r="E874" s="67"/>
    </row>
    <row r="875" spans="1:9" x14ac:dyDescent="0.3">
      <c r="A875" s="67"/>
      <c r="B875" s="67"/>
      <c r="C875" s="67"/>
      <c r="D875" s="67"/>
      <c r="E875" s="67"/>
    </row>
    <row r="876" spans="1:9" x14ac:dyDescent="0.3">
      <c r="A876" s="13" t="s">
        <v>695</v>
      </c>
      <c r="B876" s="13" t="s">
        <v>867</v>
      </c>
      <c r="C876" s="13" t="s">
        <v>868</v>
      </c>
      <c r="D876" s="13" t="s">
        <v>869</v>
      </c>
      <c r="E876" s="60" t="s">
        <v>872</v>
      </c>
    </row>
    <row r="877" spans="1:9" x14ac:dyDescent="0.3">
      <c r="A877" s="67" t="s">
        <v>698</v>
      </c>
      <c r="B877" s="67" t="s">
        <v>893</v>
      </c>
      <c r="C877" s="21">
        <v>45731</v>
      </c>
      <c r="D877" s="67">
        <v>1250</v>
      </c>
      <c r="E877" s="8" t="str">
        <f>IF($B$874-C877&lt;=0,"Current",IF($B$874-C877&lt;=30,"1-30 Days",IF($B$874-C877&lt;=60,"31-60 Days",IF($B$874-C877&lt;=90,"61-90 Days","90+ Days"))))</f>
        <v>Current</v>
      </c>
    </row>
    <row r="878" spans="1:9" x14ac:dyDescent="0.3">
      <c r="A878" s="67" t="s">
        <v>700</v>
      </c>
      <c r="B878" s="67" t="s">
        <v>895</v>
      </c>
      <c r="C878" s="21">
        <v>45731</v>
      </c>
      <c r="D878" s="67">
        <v>480</v>
      </c>
      <c r="E878" s="8" t="str">
        <f t="shared" ref="E878:E891" si="29">IF($B$874-C878&lt;=0,"Current",IF($B$874-C878&lt;=30,"1-30 Days",IF($B$874-C878&lt;=60,"31-60 Days",IF($B$874-C878&lt;=90,"61-90 Days","90+ Days"))))</f>
        <v>Current</v>
      </c>
    </row>
    <row r="879" spans="1:9" x14ac:dyDescent="0.3">
      <c r="A879" s="67" t="s">
        <v>702</v>
      </c>
      <c r="B879" s="67" t="s">
        <v>896</v>
      </c>
      <c r="C879" s="21">
        <v>45731</v>
      </c>
      <c r="D879" s="67">
        <v>2750</v>
      </c>
      <c r="E879" s="8" t="str">
        <f t="shared" si="29"/>
        <v>Current</v>
      </c>
    </row>
    <row r="880" spans="1:9" x14ac:dyDescent="0.3">
      <c r="A880" s="67" t="s">
        <v>704</v>
      </c>
      <c r="B880" s="67" t="s">
        <v>897</v>
      </c>
      <c r="C880" s="21">
        <v>45726</v>
      </c>
      <c r="D880" s="67">
        <v>910</v>
      </c>
      <c r="E880" s="8" t="str">
        <f t="shared" si="29"/>
        <v>1-30 Days</v>
      </c>
    </row>
    <row r="881" spans="1:6" x14ac:dyDescent="0.3">
      <c r="A881" s="67" t="s">
        <v>706</v>
      </c>
      <c r="B881" s="67" t="s">
        <v>898</v>
      </c>
      <c r="C881" s="21">
        <v>45716</v>
      </c>
      <c r="D881" s="67">
        <v>1640</v>
      </c>
      <c r="E881" s="8" t="str">
        <f t="shared" si="29"/>
        <v>1-30 Days</v>
      </c>
    </row>
    <row r="882" spans="1:6" x14ac:dyDescent="0.3">
      <c r="A882" s="67" t="s">
        <v>708</v>
      </c>
      <c r="B882" s="67" t="s">
        <v>899</v>
      </c>
      <c r="C882" s="21">
        <v>45703</v>
      </c>
      <c r="D882" s="67">
        <v>3200</v>
      </c>
      <c r="E882" s="8" t="str">
        <f t="shared" si="29"/>
        <v>1-30 Days</v>
      </c>
    </row>
    <row r="883" spans="1:6" x14ac:dyDescent="0.3">
      <c r="A883" s="67" t="s">
        <v>900</v>
      </c>
      <c r="B883" s="67" t="s">
        <v>901</v>
      </c>
      <c r="C883" s="21">
        <v>45698</v>
      </c>
      <c r="D883" s="67">
        <v>8450</v>
      </c>
      <c r="E883" s="8" t="str">
        <f t="shared" si="29"/>
        <v>31-60 Days</v>
      </c>
    </row>
    <row r="884" spans="1:6" x14ac:dyDescent="0.3">
      <c r="A884" s="67" t="s">
        <v>902</v>
      </c>
      <c r="B884" s="67" t="s">
        <v>903</v>
      </c>
      <c r="C884" s="21">
        <v>45688</v>
      </c>
      <c r="D884" s="67">
        <v>2150</v>
      </c>
      <c r="E884" s="8" t="str">
        <f t="shared" si="29"/>
        <v>31-60 Days</v>
      </c>
    </row>
    <row r="885" spans="1:6" x14ac:dyDescent="0.3">
      <c r="A885" s="67" t="s">
        <v>904</v>
      </c>
      <c r="B885" s="67" t="s">
        <v>905</v>
      </c>
      <c r="C885" s="21">
        <v>45677</v>
      </c>
      <c r="D885" s="67">
        <v>3890</v>
      </c>
      <c r="E885" s="8" t="str">
        <f t="shared" si="29"/>
        <v>31-60 Days</v>
      </c>
    </row>
    <row r="886" spans="1:6" x14ac:dyDescent="0.3">
      <c r="A886" s="67" t="s">
        <v>906</v>
      </c>
      <c r="B886" s="67" t="s">
        <v>907</v>
      </c>
      <c r="C886" s="21">
        <v>45667</v>
      </c>
      <c r="D886" s="67">
        <v>760</v>
      </c>
      <c r="E886" s="8" t="str">
        <f t="shared" si="29"/>
        <v>61-90 Days</v>
      </c>
    </row>
    <row r="887" spans="1:6" x14ac:dyDescent="0.3">
      <c r="A887" s="67" t="s">
        <v>908</v>
      </c>
      <c r="B887" s="67" t="s">
        <v>909</v>
      </c>
      <c r="C887" s="21">
        <v>45656</v>
      </c>
      <c r="D887" s="67">
        <v>6100</v>
      </c>
      <c r="E887" s="8" t="str">
        <f t="shared" si="29"/>
        <v>61-90 Days</v>
      </c>
    </row>
    <row r="888" spans="1:6" x14ac:dyDescent="0.3">
      <c r="A888" s="67" t="s">
        <v>910</v>
      </c>
      <c r="B888" s="67" t="s">
        <v>911</v>
      </c>
      <c r="C888" s="21">
        <v>45642</v>
      </c>
      <c r="D888" s="67">
        <v>4550</v>
      </c>
      <c r="E888" s="8" t="str">
        <f t="shared" si="29"/>
        <v>61-90 Days</v>
      </c>
    </row>
    <row r="889" spans="1:6" x14ac:dyDescent="0.3">
      <c r="A889" s="67" t="s">
        <v>912</v>
      </c>
      <c r="B889" s="67" t="s">
        <v>913</v>
      </c>
      <c r="C889" s="21">
        <v>45636</v>
      </c>
      <c r="D889" s="67">
        <v>830</v>
      </c>
      <c r="E889" s="8" t="str">
        <f t="shared" si="29"/>
        <v>90+ Days</v>
      </c>
    </row>
    <row r="890" spans="1:6" x14ac:dyDescent="0.3">
      <c r="A890" s="67" t="s">
        <v>914</v>
      </c>
      <c r="B890" s="67" t="s">
        <v>915</v>
      </c>
      <c r="C890" s="21">
        <v>45616</v>
      </c>
      <c r="D890" s="67">
        <v>5250</v>
      </c>
      <c r="E890" s="8" t="str">
        <f t="shared" si="29"/>
        <v>90+ Days</v>
      </c>
    </row>
    <row r="891" spans="1:6" x14ac:dyDescent="0.3">
      <c r="A891" s="67" t="s">
        <v>916</v>
      </c>
      <c r="B891" s="67" t="s">
        <v>917</v>
      </c>
      <c r="C891" s="21">
        <v>45590</v>
      </c>
      <c r="D891" s="67">
        <v>7150</v>
      </c>
      <c r="E891" s="8" t="str">
        <f t="shared" si="29"/>
        <v>90+ Days</v>
      </c>
    </row>
    <row r="892" spans="1:6" x14ac:dyDescent="0.3">
      <c r="A892" s="67"/>
      <c r="B892" s="67"/>
      <c r="C892" s="67"/>
      <c r="D892" s="67"/>
      <c r="E892" s="67"/>
    </row>
    <row r="893" spans="1:6" x14ac:dyDescent="0.3">
      <c r="A893" s="13" t="s">
        <v>918</v>
      </c>
      <c r="B893" s="13" t="s">
        <v>26</v>
      </c>
      <c r="C893" s="67"/>
      <c r="D893" s="67"/>
      <c r="E893" s="67"/>
    </row>
    <row r="894" spans="1:6" ht="14.4" customHeight="1" x14ac:dyDescent="0.3">
      <c r="A894" s="61" t="s">
        <v>894</v>
      </c>
      <c r="B894" s="36">
        <f>SUMIFS($D$877:$D$891,$E$877:$E$891,$A894)</f>
        <v>4480</v>
      </c>
      <c r="C894" s="67" t="str">
        <f ca="1">_xlfn.FORMULATEXT(B894)</f>
        <v>=SUMIFS($D$877:$D$891,$E$877:$E$891,$A894)</v>
      </c>
      <c r="D894" s="67"/>
      <c r="E894" s="71" t="str">
        <f ca="1">_xlfn.FORMULATEXT(E877)</f>
        <v>=IF($B$874-C877&lt;=0,"Current",IF($B$874-C877&lt;=30,"1-30 Days",IF($B$874-C877&lt;=60,"31-60 Days",IF($B$874-C877&lt;=90,"61-90 Days","90+ Days"))))</v>
      </c>
      <c r="F894" s="71"/>
    </row>
    <row r="895" spans="1:6" x14ac:dyDescent="0.3">
      <c r="A895" s="61" t="s">
        <v>919</v>
      </c>
      <c r="B895" s="36">
        <f t="shared" ref="B895:B898" si="30">SUMIFS($D$877:$D$891,$E$877:$E$891,$A895)</f>
        <v>5750</v>
      </c>
      <c r="C895" s="67"/>
      <c r="D895" s="67"/>
      <c r="E895" s="71"/>
      <c r="F895" s="71"/>
    </row>
    <row r="896" spans="1:6" x14ac:dyDescent="0.3">
      <c r="A896" s="61" t="s">
        <v>920</v>
      </c>
      <c r="B896" s="36">
        <f t="shared" si="30"/>
        <v>14490</v>
      </c>
      <c r="D896" s="67"/>
      <c r="E896" s="71"/>
      <c r="F896" s="71"/>
    </row>
    <row r="897" spans="1:6" x14ac:dyDescent="0.3">
      <c r="A897" s="61" t="s">
        <v>921</v>
      </c>
      <c r="B897" s="36">
        <f t="shared" si="30"/>
        <v>11410</v>
      </c>
      <c r="C897" s="67"/>
      <c r="D897" s="67"/>
      <c r="E897" s="71"/>
      <c r="F897" s="71"/>
    </row>
    <row r="898" spans="1:6" x14ac:dyDescent="0.3">
      <c r="A898" s="61" t="s">
        <v>922</v>
      </c>
      <c r="B898" s="36">
        <f t="shared" si="30"/>
        <v>13230</v>
      </c>
      <c r="C898" s="67"/>
      <c r="D898" s="67"/>
      <c r="E898" s="67"/>
    </row>
    <row r="899" spans="1:6" x14ac:dyDescent="0.3">
      <c r="A899" s="67"/>
    </row>
    <row r="900" spans="1:6" x14ac:dyDescent="0.3">
      <c r="A900" s="22" t="s">
        <v>923</v>
      </c>
    </row>
    <row r="901" spans="1:6" ht="31.2" x14ac:dyDescent="0.3">
      <c r="A901" s="67" t="s">
        <v>924</v>
      </c>
    </row>
    <row r="902" spans="1:6" x14ac:dyDescent="0.3">
      <c r="A902" s="20"/>
    </row>
    <row r="903" spans="1:6" ht="31.2" x14ac:dyDescent="0.3">
      <c r="A903" s="67" t="s">
        <v>925</v>
      </c>
    </row>
    <row r="904" spans="1:6" x14ac:dyDescent="0.3">
      <c r="A904" s="20"/>
    </row>
    <row r="905" spans="1:6" x14ac:dyDescent="0.3">
      <c r="A905" s="67" t="s">
        <v>926</v>
      </c>
    </row>
    <row r="906" spans="1:6" x14ac:dyDescent="0.3">
      <c r="A906" s="20"/>
    </row>
    <row r="907" spans="1:6" x14ac:dyDescent="0.3">
      <c r="A907" s="67" t="s">
        <v>927</v>
      </c>
    </row>
    <row r="908" spans="1:6" x14ac:dyDescent="0.3">
      <c r="A908" s="30"/>
    </row>
    <row r="909" spans="1:6" x14ac:dyDescent="0.3">
      <c r="A909" s="30" t="s">
        <v>949</v>
      </c>
    </row>
    <row r="910" spans="1:6" x14ac:dyDescent="0.3">
      <c r="A910" s="30" t="s">
        <v>950</v>
      </c>
    </row>
    <row r="911" spans="1:6" x14ac:dyDescent="0.3">
      <c r="A911" s="30" t="s">
        <v>951</v>
      </c>
    </row>
    <row r="912" spans="1:6" x14ac:dyDescent="0.3">
      <c r="A912" s="67" t="s">
        <v>677</v>
      </c>
    </row>
    <row r="913" spans="1:3" x14ac:dyDescent="0.3">
      <c r="A913" s="30"/>
    </row>
    <row r="914" spans="1:3" x14ac:dyDescent="0.3">
      <c r="A914" s="30" t="s">
        <v>952</v>
      </c>
    </row>
    <row r="915" spans="1:3" ht="31.2" x14ac:dyDescent="0.3">
      <c r="A915" s="30" t="s">
        <v>953</v>
      </c>
    </row>
    <row r="916" spans="1:3" x14ac:dyDescent="0.3">
      <c r="A916" s="30" t="s">
        <v>954</v>
      </c>
    </row>
    <row r="917" spans="1:3" x14ac:dyDescent="0.3">
      <c r="A917" s="30" t="s">
        <v>955</v>
      </c>
    </row>
    <row r="918" spans="1:3" x14ac:dyDescent="0.3">
      <c r="A918" s="20"/>
    </row>
    <row r="919" spans="1:3" x14ac:dyDescent="0.3">
      <c r="A919" s="67" t="s">
        <v>928</v>
      </c>
    </row>
    <row r="921" spans="1:3" x14ac:dyDescent="0.3">
      <c r="A921" s="13" t="s">
        <v>711</v>
      </c>
      <c r="B921" s="13" t="s">
        <v>929</v>
      </c>
      <c r="C921" s="13" t="s">
        <v>220</v>
      </c>
    </row>
    <row r="922" spans="1:3" x14ac:dyDescent="0.3">
      <c r="A922" s="67" t="s">
        <v>222</v>
      </c>
      <c r="B922" s="67" t="s">
        <v>930</v>
      </c>
      <c r="C922" s="67">
        <v>75</v>
      </c>
    </row>
    <row r="923" spans="1:3" x14ac:dyDescent="0.3">
      <c r="A923" s="67" t="s">
        <v>298</v>
      </c>
      <c r="B923" s="67" t="s">
        <v>931</v>
      </c>
      <c r="C923" s="67">
        <v>78</v>
      </c>
    </row>
    <row r="924" spans="1:3" x14ac:dyDescent="0.3">
      <c r="A924" s="67" t="s">
        <v>932</v>
      </c>
      <c r="B924" s="67" t="s">
        <v>933</v>
      </c>
      <c r="C924" s="67">
        <v>72</v>
      </c>
    </row>
    <row r="925" spans="1:3" x14ac:dyDescent="0.3">
      <c r="A925" s="67" t="s">
        <v>161</v>
      </c>
      <c r="B925" s="67" t="s">
        <v>930</v>
      </c>
      <c r="C925" s="67">
        <v>84</v>
      </c>
    </row>
    <row r="926" spans="1:3" x14ac:dyDescent="0.3">
      <c r="A926" s="67" t="s">
        <v>934</v>
      </c>
      <c r="B926" s="67" t="s">
        <v>931</v>
      </c>
      <c r="C926" s="67">
        <v>63</v>
      </c>
    </row>
    <row r="927" spans="1:3" x14ac:dyDescent="0.3">
      <c r="A927" s="67" t="s">
        <v>935</v>
      </c>
      <c r="B927" s="67" t="s">
        <v>933</v>
      </c>
      <c r="C927" s="67">
        <v>57</v>
      </c>
    </row>
    <row r="928" spans="1:3" x14ac:dyDescent="0.3">
      <c r="A928" s="67" t="s">
        <v>936</v>
      </c>
      <c r="B928" s="67" t="s">
        <v>930</v>
      </c>
      <c r="C928" s="67">
        <v>93</v>
      </c>
    </row>
    <row r="929" spans="1:3" x14ac:dyDescent="0.3">
      <c r="A929" s="67" t="s">
        <v>937</v>
      </c>
      <c r="B929" s="67" t="s">
        <v>931</v>
      </c>
      <c r="C929" s="67">
        <v>90</v>
      </c>
    </row>
    <row r="930" spans="1:3" x14ac:dyDescent="0.3">
      <c r="A930" s="67" t="s">
        <v>938</v>
      </c>
      <c r="B930" s="67" t="s">
        <v>933</v>
      </c>
      <c r="C930" s="67">
        <v>90</v>
      </c>
    </row>
    <row r="931" spans="1:3" x14ac:dyDescent="0.3">
      <c r="A931" s="67"/>
      <c r="B931" s="67"/>
      <c r="C931" s="67"/>
    </row>
    <row r="932" spans="1:3" x14ac:dyDescent="0.3">
      <c r="A932" s="13" t="s">
        <v>929</v>
      </c>
      <c r="B932" s="13" t="s">
        <v>939</v>
      </c>
      <c r="C932" s="67"/>
    </row>
    <row r="933" spans="1:3" x14ac:dyDescent="0.3">
      <c r="A933" s="67" t="s">
        <v>930</v>
      </c>
      <c r="B933" s="8">
        <f>AVERAGEIF($B$922:$B$930,A933,$C$922:$C$930)</f>
        <v>84</v>
      </c>
      <c r="C933" s="67"/>
    </row>
    <row r="934" spans="1:3" x14ac:dyDescent="0.3">
      <c r="A934" s="67" t="s">
        <v>931</v>
      </c>
      <c r="B934" s="8">
        <f t="shared" ref="B934:B935" si="31">AVERAGEIF($B$922:$B$930,A934,$C$922:$C$930)</f>
        <v>77</v>
      </c>
      <c r="C934" s="67"/>
    </row>
    <row r="935" spans="1:3" x14ac:dyDescent="0.3">
      <c r="A935" s="67" t="s">
        <v>933</v>
      </c>
      <c r="B935" s="8">
        <f t="shared" si="31"/>
        <v>73</v>
      </c>
      <c r="C935" s="67"/>
    </row>
    <row r="937" spans="1:3" x14ac:dyDescent="0.3">
      <c r="B937" s="75" t="str">
        <f ca="1" xml:space="preserve"> _xlfn.FORMULATEXT(B933)</f>
        <v>=AVERAGEIF($B$922:$B$930,A933,$C$922:$C$930)</v>
      </c>
      <c r="C937" s="75"/>
    </row>
    <row r="939" spans="1:3" x14ac:dyDescent="0.3">
      <c r="A939" s="22" t="s">
        <v>956</v>
      </c>
    </row>
    <row r="940" spans="1:3" x14ac:dyDescent="0.3">
      <c r="A940" s="64" t="s">
        <v>957</v>
      </c>
    </row>
    <row r="941" spans="1:3" ht="31.2" x14ac:dyDescent="0.3">
      <c r="A941" s="62" t="s">
        <v>958</v>
      </c>
    </row>
    <row r="942" spans="1:3" x14ac:dyDescent="0.3">
      <c r="A942" s="67"/>
    </row>
    <row r="943" spans="1:3" ht="31.2" x14ac:dyDescent="0.3">
      <c r="A943" s="62" t="s">
        <v>964</v>
      </c>
    </row>
    <row r="944" spans="1:3" x14ac:dyDescent="0.3">
      <c r="A944" s="67"/>
    </row>
    <row r="945" spans="1:1" x14ac:dyDescent="0.3">
      <c r="A945" s="62" t="s">
        <v>959</v>
      </c>
    </row>
    <row r="946" spans="1:1" x14ac:dyDescent="0.3">
      <c r="A946" s="67"/>
    </row>
    <row r="947" spans="1:1" x14ac:dyDescent="0.3">
      <c r="A947" s="62" t="s">
        <v>963</v>
      </c>
    </row>
    <row r="948" spans="1:1" x14ac:dyDescent="0.3">
      <c r="A948" s="30"/>
    </row>
    <row r="949" spans="1:1" x14ac:dyDescent="0.3">
      <c r="A949" s="63" t="s">
        <v>965</v>
      </c>
    </row>
    <row r="950" spans="1:1" x14ac:dyDescent="0.3">
      <c r="A950" s="63" t="s">
        <v>966</v>
      </c>
    </row>
    <row r="951" spans="1:1" x14ac:dyDescent="0.3">
      <c r="A951" s="63" t="s">
        <v>967</v>
      </c>
    </row>
    <row r="952" spans="1:1" x14ac:dyDescent="0.3">
      <c r="A952" s="67"/>
    </row>
    <row r="953" spans="1:1" x14ac:dyDescent="0.3">
      <c r="A953" s="62" t="s">
        <v>960</v>
      </c>
    </row>
    <row r="954" spans="1:1" x14ac:dyDescent="0.3">
      <c r="A954" s="67"/>
    </row>
    <row r="955" spans="1:1" x14ac:dyDescent="0.3">
      <c r="A955" s="62" t="s">
        <v>968</v>
      </c>
    </row>
    <row r="956" spans="1:1" x14ac:dyDescent="0.3">
      <c r="A956" s="67"/>
    </row>
    <row r="957" spans="1:1" x14ac:dyDescent="0.3">
      <c r="A957" s="62" t="s">
        <v>961</v>
      </c>
    </row>
    <row r="958" spans="1:1" x14ac:dyDescent="0.3">
      <c r="A958" s="67"/>
    </row>
    <row r="959" spans="1:1" x14ac:dyDescent="0.3">
      <c r="A959" s="62" t="s">
        <v>962</v>
      </c>
    </row>
    <row r="960" spans="1:1" x14ac:dyDescent="0.3">
      <c r="A960" s="67"/>
    </row>
    <row r="961" spans="1:3" x14ac:dyDescent="0.3">
      <c r="A961" s="62" t="s">
        <v>677</v>
      </c>
    </row>
    <row r="962" spans="1:3" x14ac:dyDescent="0.3">
      <c r="A962" s="30"/>
    </row>
    <row r="963" spans="1:3" x14ac:dyDescent="0.3">
      <c r="A963" s="63" t="s">
        <v>969</v>
      </c>
    </row>
    <row r="964" spans="1:3" x14ac:dyDescent="0.3">
      <c r="A964" s="63" t="s">
        <v>970</v>
      </c>
    </row>
    <row r="965" spans="1:3" x14ac:dyDescent="0.3">
      <c r="A965" s="63" t="s">
        <v>954</v>
      </c>
    </row>
    <row r="967" spans="1:3" x14ac:dyDescent="0.3">
      <c r="A967" s="67" t="s">
        <v>971</v>
      </c>
      <c r="B967" s="67">
        <v>500</v>
      </c>
      <c r="C967" s="67"/>
    </row>
    <row r="968" spans="1:3" x14ac:dyDescent="0.3">
      <c r="A968" s="67"/>
      <c r="B968" s="67"/>
      <c r="C968" s="67"/>
    </row>
    <row r="969" spans="1:3" x14ac:dyDescent="0.3">
      <c r="A969" s="13" t="s">
        <v>382</v>
      </c>
      <c r="B969" s="13" t="s">
        <v>867</v>
      </c>
      <c r="C969" s="13" t="s">
        <v>869</v>
      </c>
    </row>
    <row r="970" spans="1:3" x14ac:dyDescent="0.3">
      <c r="A970" s="67" t="s">
        <v>972</v>
      </c>
      <c r="B970" s="67" t="s">
        <v>874</v>
      </c>
      <c r="C970" s="67">
        <v>1200</v>
      </c>
    </row>
    <row r="971" spans="1:3" x14ac:dyDescent="0.3">
      <c r="A971" s="67" t="s">
        <v>973</v>
      </c>
      <c r="B971" s="67" t="s">
        <v>974</v>
      </c>
      <c r="C971" s="67">
        <v>340</v>
      </c>
    </row>
    <row r="972" spans="1:3" x14ac:dyDescent="0.3">
      <c r="A972" s="67" t="s">
        <v>975</v>
      </c>
      <c r="B972" s="67" t="s">
        <v>976</v>
      </c>
      <c r="C972" s="67">
        <v>875</v>
      </c>
    </row>
    <row r="973" spans="1:3" x14ac:dyDescent="0.3">
      <c r="A973" s="67" t="s">
        <v>977</v>
      </c>
      <c r="B973" s="67" t="s">
        <v>978</v>
      </c>
      <c r="C973" s="67">
        <v>150</v>
      </c>
    </row>
    <row r="974" spans="1:3" x14ac:dyDescent="0.3">
      <c r="A974" s="67" t="s">
        <v>979</v>
      </c>
      <c r="B974" s="67" t="s">
        <v>980</v>
      </c>
      <c r="C974" s="67">
        <v>3200</v>
      </c>
    </row>
    <row r="975" spans="1:3" x14ac:dyDescent="0.3">
      <c r="A975" s="67" t="s">
        <v>981</v>
      </c>
      <c r="B975" s="67" t="s">
        <v>982</v>
      </c>
      <c r="C975" s="67">
        <v>490</v>
      </c>
    </row>
    <row r="976" spans="1:3" x14ac:dyDescent="0.3">
      <c r="A976" s="67" t="s">
        <v>983</v>
      </c>
      <c r="B976" s="67" t="s">
        <v>984</v>
      </c>
      <c r="C976" s="67">
        <v>1540</v>
      </c>
    </row>
    <row r="977" spans="1:4" x14ac:dyDescent="0.3">
      <c r="A977" s="67" t="s">
        <v>985</v>
      </c>
      <c r="B977" s="67" t="s">
        <v>986</v>
      </c>
      <c r="C977" s="67">
        <v>720</v>
      </c>
    </row>
    <row r="978" spans="1:4" x14ac:dyDescent="0.3">
      <c r="A978" s="67"/>
      <c r="B978" s="67"/>
      <c r="C978" s="67"/>
    </row>
    <row r="979" spans="1:4" x14ac:dyDescent="0.3">
      <c r="A979" s="67" t="s">
        <v>987</v>
      </c>
      <c r="B979" s="8">
        <f>SUMIF(C970:C977,"&gt;"&amp;B967)</f>
        <v>7535</v>
      </c>
      <c r="C979" s="67"/>
    </row>
    <row r="980" spans="1:4" x14ac:dyDescent="0.3">
      <c r="B980" s="3" t="str">
        <f ca="1">_xlfn.FORMULATEXT(B979)</f>
        <v>=SUMIF(C970:C977,"&gt;"&amp;B967)</v>
      </c>
    </row>
    <row r="982" spans="1:4" x14ac:dyDescent="0.3">
      <c r="A982" s="22" t="s">
        <v>988</v>
      </c>
    </row>
    <row r="983" spans="1:4" x14ac:dyDescent="0.3">
      <c r="A983" s="64" t="s">
        <v>957</v>
      </c>
    </row>
    <row r="984" spans="1:4" ht="31.2" x14ac:dyDescent="0.3">
      <c r="A984" s="62" t="s">
        <v>989</v>
      </c>
    </row>
    <row r="985" spans="1:4" ht="31.2" x14ac:dyDescent="0.3">
      <c r="A985" s="62" t="s">
        <v>990</v>
      </c>
    </row>
    <row r="986" spans="1:4" x14ac:dyDescent="0.3">
      <c r="A986" s="62" t="s">
        <v>959</v>
      </c>
    </row>
    <row r="987" spans="1:4" x14ac:dyDescent="0.3">
      <c r="A987" s="62" t="s">
        <v>998</v>
      </c>
    </row>
    <row r="988" spans="1:4" x14ac:dyDescent="0.3">
      <c r="A988" s="63" t="s">
        <v>992</v>
      </c>
    </row>
    <row r="989" spans="1:4" x14ac:dyDescent="0.3">
      <c r="A989" s="63" t="s">
        <v>993</v>
      </c>
    </row>
    <row r="990" spans="1:4" x14ac:dyDescent="0.3">
      <c r="A990" s="63" t="s">
        <v>994</v>
      </c>
    </row>
    <row r="991" spans="1:4" x14ac:dyDescent="0.3">
      <c r="A991" s="63" t="s">
        <v>677</v>
      </c>
      <c r="B991" s="63"/>
      <c r="C991" s="63"/>
      <c r="D991" s="63"/>
    </row>
    <row r="992" spans="1:4" x14ac:dyDescent="0.3">
      <c r="A992" s="63" t="s">
        <v>995</v>
      </c>
      <c r="B992" s="63"/>
      <c r="C992" s="63"/>
      <c r="D992" s="63"/>
    </row>
    <row r="993" spans="1:4" ht="31.2" x14ac:dyDescent="0.3">
      <c r="A993" s="63" t="s">
        <v>996</v>
      </c>
      <c r="B993" s="63"/>
      <c r="C993" s="63"/>
      <c r="D993" s="63"/>
    </row>
    <row r="994" spans="1:4" x14ac:dyDescent="0.3">
      <c r="A994" s="63" t="s">
        <v>954</v>
      </c>
      <c r="B994" s="63"/>
      <c r="C994" s="63"/>
      <c r="D994" s="63"/>
    </row>
    <row r="995" spans="1:4" x14ac:dyDescent="0.3">
      <c r="A995" s="63" t="s">
        <v>997</v>
      </c>
      <c r="B995" s="63"/>
      <c r="C995" s="63"/>
      <c r="D995" s="63"/>
    </row>
    <row r="996" spans="1:4" x14ac:dyDescent="0.3">
      <c r="A996" s="63" t="s">
        <v>991</v>
      </c>
      <c r="B996" s="63"/>
      <c r="C996" s="63"/>
      <c r="D996" s="63"/>
    </row>
    <row r="997" spans="1:4" x14ac:dyDescent="0.3">
      <c r="A997" s="63"/>
      <c r="B997" s="63"/>
      <c r="C997" s="63"/>
      <c r="D997" s="63"/>
    </row>
    <row r="998" spans="1:4" x14ac:dyDescent="0.3">
      <c r="A998" s="13" t="s">
        <v>999</v>
      </c>
      <c r="B998" s="13" t="s">
        <v>46</v>
      </c>
      <c r="C998" s="13" t="s">
        <v>1000</v>
      </c>
      <c r="D998" s="63"/>
    </row>
    <row r="999" spans="1:4" x14ac:dyDescent="0.3">
      <c r="A999" s="63" t="s">
        <v>1001</v>
      </c>
      <c r="B999" s="63" t="s">
        <v>1002</v>
      </c>
      <c r="C999" s="63">
        <v>1800</v>
      </c>
      <c r="D999" s="63"/>
    </row>
    <row r="1000" spans="1:4" x14ac:dyDescent="0.3">
      <c r="A1000" s="63" t="s">
        <v>1003</v>
      </c>
      <c r="B1000" s="63" t="s">
        <v>1004</v>
      </c>
      <c r="C1000" s="63">
        <v>2200</v>
      </c>
      <c r="D1000" s="63"/>
    </row>
    <row r="1001" spans="1:4" x14ac:dyDescent="0.3">
      <c r="A1001" s="63" t="s">
        <v>1005</v>
      </c>
      <c r="B1001" s="63" t="s">
        <v>1006</v>
      </c>
      <c r="C1001" s="63">
        <v>950</v>
      </c>
      <c r="D1001" s="63"/>
    </row>
    <row r="1002" spans="1:4" x14ac:dyDescent="0.3">
      <c r="A1002" s="63" t="s">
        <v>1007</v>
      </c>
      <c r="B1002" s="63" t="s">
        <v>1002</v>
      </c>
      <c r="C1002" s="63">
        <v>1450</v>
      </c>
      <c r="D1002" s="63"/>
    </row>
    <row r="1003" spans="1:4" x14ac:dyDescent="0.3">
      <c r="A1003" s="63" t="s">
        <v>1001</v>
      </c>
      <c r="B1003" s="63" t="s">
        <v>1004</v>
      </c>
      <c r="C1003" s="63">
        <v>2500</v>
      </c>
      <c r="D1003" s="63"/>
    </row>
    <row r="1004" spans="1:4" x14ac:dyDescent="0.3">
      <c r="A1004" s="63" t="s">
        <v>1003</v>
      </c>
      <c r="B1004" s="63" t="s">
        <v>1006</v>
      </c>
      <c r="C1004" s="63">
        <v>800</v>
      </c>
      <c r="D1004" s="63"/>
    </row>
    <row r="1005" spans="1:4" x14ac:dyDescent="0.3">
      <c r="A1005" s="63" t="s">
        <v>1005</v>
      </c>
      <c r="B1005" s="63" t="s">
        <v>1004</v>
      </c>
      <c r="C1005" s="63">
        <v>1650</v>
      </c>
      <c r="D1005" s="63"/>
    </row>
    <row r="1006" spans="1:4" x14ac:dyDescent="0.3">
      <c r="A1006" s="63" t="s">
        <v>1007</v>
      </c>
      <c r="B1006" s="63" t="s">
        <v>1006</v>
      </c>
      <c r="C1006" s="63">
        <v>1100</v>
      </c>
      <c r="D1006" s="63"/>
    </row>
    <row r="1007" spans="1:4" x14ac:dyDescent="0.3">
      <c r="A1007" s="63"/>
      <c r="B1007" s="63"/>
      <c r="C1007" s="63"/>
      <c r="D1007" s="63"/>
    </row>
    <row r="1008" spans="1:4" x14ac:dyDescent="0.3">
      <c r="A1008" s="13" t="s">
        <v>999</v>
      </c>
      <c r="B1008" s="13" t="s">
        <v>1008</v>
      </c>
      <c r="C1008" s="63"/>
      <c r="D1008" s="63"/>
    </row>
    <row r="1009" spans="1:4" x14ac:dyDescent="0.3">
      <c r="A1009" s="63" t="s">
        <v>1001</v>
      </c>
      <c r="B1009" s="63">
        <f>SUMIF($A$999:$A$1006,A1009,$C$999:$C$1006)</f>
        <v>4300</v>
      </c>
      <c r="C1009" s="63"/>
      <c r="D1009" s="63"/>
    </row>
    <row r="1010" spans="1:4" x14ac:dyDescent="0.3">
      <c r="A1010" s="63" t="s">
        <v>1003</v>
      </c>
      <c r="B1010" s="63">
        <f t="shared" ref="B1010:B1012" si="32">SUMIF($A$999:$A$1006,A1010,$C$999:$C$1006)</f>
        <v>3000</v>
      </c>
      <c r="C1010" s="63"/>
      <c r="D1010" s="63"/>
    </row>
    <row r="1011" spans="1:4" x14ac:dyDescent="0.3">
      <c r="A1011" s="63" t="s">
        <v>1005</v>
      </c>
      <c r="B1011" s="63">
        <f t="shared" si="32"/>
        <v>2600</v>
      </c>
      <c r="C1011" s="63"/>
      <c r="D1011" s="63"/>
    </row>
    <row r="1012" spans="1:4" x14ac:dyDescent="0.3">
      <c r="A1012" s="63" t="s">
        <v>1007</v>
      </c>
      <c r="B1012" s="63">
        <f t="shared" si="32"/>
        <v>2550</v>
      </c>
      <c r="C1012" s="63"/>
      <c r="D1012" s="63"/>
    </row>
    <row r="1013" spans="1:4" x14ac:dyDescent="0.3">
      <c r="A1013" s="63"/>
      <c r="B1013" s="77" t="str">
        <f ca="1">_xlfn.FORMULATEXT(B1009)</f>
        <v>=SUMIF($A$999:$A$1006,A1009,$C$999:$C$1006)</v>
      </c>
      <c r="C1013" s="77"/>
      <c r="D1013" s="63"/>
    </row>
    <row r="1014" spans="1:4" x14ac:dyDescent="0.3">
      <c r="A1014" s="63"/>
      <c r="B1014" s="63"/>
      <c r="C1014" s="63"/>
      <c r="D1014" s="63"/>
    </row>
    <row r="1015" spans="1:4" x14ac:dyDescent="0.3">
      <c r="A1015" s="22" t="s">
        <v>1009</v>
      </c>
      <c r="B1015" s="63"/>
      <c r="C1015" s="63"/>
      <c r="D1015" s="63"/>
    </row>
    <row r="1016" spans="1:4" ht="124.8" x14ac:dyDescent="0.3">
      <c r="A1016" s="63" t="s">
        <v>1010</v>
      </c>
      <c r="B1016" s="63"/>
      <c r="C1016" s="63"/>
      <c r="D1016" s="63"/>
    </row>
    <row r="1017" spans="1:4" x14ac:dyDescent="0.3">
      <c r="A1017" s="67" t="s">
        <v>1011</v>
      </c>
      <c r="B1017" s="63"/>
      <c r="C1017" s="63"/>
      <c r="D1017" s="63"/>
    </row>
    <row r="1018" spans="1:4" x14ac:dyDescent="0.3">
      <c r="A1018" s="30" t="s">
        <v>1013</v>
      </c>
      <c r="B1018" s="63"/>
      <c r="C1018" s="63"/>
      <c r="D1018" s="63"/>
    </row>
    <row r="1019" spans="1:4" x14ac:dyDescent="0.3">
      <c r="A1019" s="30" t="s">
        <v>1012</v>
      </c>
      <c r="B1019" s="63"/>
      <c r="C1019" s="63"/>
      <c r="D1019" s="63"/>
    </row>
    <row r="1020" spans="1:4" x14ac:dyDescent="0.3">
      <c r="A1020" s="31" t="s">
        <v>1014</v>
      </c>
      <c r="B1020" s="63"/>
      <c r="C1020" s="63"/>
      <c r="D1020" s="63"/>
    </row>
    <row r="1021" spans="1:4" x14ac:dyDescent="0.3">
      <c r="A1021" s="31" t="s">
        <v>1015</v>
      </c>
      <c r="B1021" s="63"/>
      <c r="C1021" s="63"/>
      <c r="D1021" s="63"/>
    </row>
    <row r="1022" spans="1:4" x14ac:dyDescent="0.3">
      <c r="A1022" s="30" t="s">
        <v>1016</v>
      </c>
      <c r="B1022" s="63"/>
      <c r="C1022" s="63"/>
      <c r="D1022" s="63"/>
    </row>
    <row r="1023" spans="1:4" x14ac:dyDescent="0.3">
      <c r="A1023" s="31" t="s">
        <v>1017</v>
      </c>
      <c r="B1023" s="63"/>
      <c r="C1023" s="63"/>
      <c r="D1023" s="63"/>
    </row>
    <row r="1024" spans="1:4" x14ac:dyDescent="0.3">
      <c r="A1024" s="31" t="s">
        <v>1018</v>
      </c>
      <c r="B1024" s="63"/>
      <c r="C1024" s="63"/>
      <c r="D1024" s="63"/>
    </row>
    <row r="1025" spans="1:9" x14ac:dyDescent="0.3">
      <c r="A1025" s="20"/>
      <c r="B1025" s="63"/>
      <c r="C1025" s="63"/>
      <c r="D1025" s="63"/>
    </row>
    <row r="1026" spans="1:9" x14ac:dyDescent="0.3">
      <c r="A1026" s="67" t="s">
        <v>1019</v>
      </c>
      <c r="B1026" s="63"/>
      <c r="C1026" s="63"/>
      <c r="D1026" s="63"/>
    </row>
    <row r="1027" spans="1:9" x14ac:dyDescent="0.3">
      <c r="A1027" s="63"/>
      <c r="B1027" s="63"/>
      <c r="C1027" s="63"/>
      <c r="D1027" s="63"/>
    </row>
    <row r="1028" spans="1:9" x14ac:dyDescent="0.3">
      <c r="A1028" s="10" t="s">
        <v>1020</v>
      </c>
      <c r="B1028" s="10" t="s">
        <v>1021</v>
      </c>
      <c r="C1028" s="10" t="s">
        <v>310</v>
      </c>
      <c r="D1028" s="10" t="s">
        <v>669</v>
      </c>
      <c r="E1028" s="10" t="s">
        <v>1022</v>
      </c>
      <c r="F1028" s="10" t="s">
        <v>1023</v>
      </c>
      <c r="G1028" s="10" t="s">
        <v>30</v>
      </c>
    </row>
    <row r="1029" spans="1:9" x14ac:dyDescent="0.3">
      <c r="A1029" s="67">
        <v>2001</v>
      </c>
      <c r="B1029" s="21">
        <v>46026</v>
      </c>
      <c r="C1029" s="67" t="s">
        <v>314</v>
      </c>
      <c r="D1029" s="67" t="s">
        <v>1024</v>
      </c>
      <c r="E1029" s="67">
        <v>42</v>
      </c>
      <c r="F1029" s="67" t="s">
        <v>310</v>
      </c>
      <c r="G1029" s="67" t="s">
        <v>314</v>
      </c>
    </row>
    <row r="1030" spans="1:9" x14ac:dyDescent="0.3">
      <c r="A1030" s="67">
        <v>2002</v>
      </c>
      <c r="B1030" s="21">
        <v>46031</v>
      </c>
      <c r="C1030" s="67" t="s">
        <v>314</v>
      </c>
      <c r="D1030" s="67" t="s">
        <v>1025</v>
      </c>
      <c r="E1030" s="67">
        <v>50</v>
      </c>
      <c r="F1030" s="67" t="s">
        <v>669</v>
      </c>
      <c r="G1030" s="67" t="s">
        <v>1024</v>
      </c>
    </row>
    <row r="1031" spans="1:9" x14ac:dyDescent="0.3">
      <c r="A1031" s="67">
        <v>2003</v>
      </c>
      <c r="B1031" s="21">
        <v>46065</v>
      </c>
      <c r="C1031" s="67" t="s">
        <v>314</v>
      </c>
      <c r="D1031" s="67" t="s">
        <v>1024</v>
      </c>
      <c r="E1031" s="67">
        <v>55</v>
      </c>
      <c r="F1031" s="67" t="s">
        <v>1026</v>
      </c>
      <c r="G1031" s="28">
        <f>AVERAGEIFS(E1029:E1040,C1029:C1040,G1029,D1029:D1040,G1030)</f>
        <v>49</v>
      </c>
    </row>
    <row r="1032" spans="1:9" x14ac:dyDescent="0.3">
      <c r="A1032" s="67">
        <v>2004</v>
      </c>
      <c r="B1032" s="21">
        <v>46073</v>
      </c>
      <c r="C1032" s="67" t="s">
        <v>314</v>
      </c>
      <c r="D1032" s="67" t="s">
        <v>1027</v>
      </c>
      <c r="E1032" s="67">
        <v>70</v>
      </c>
      <c r="F1032" s="67"/>
      <c r="G1032" s="71" t="str">
        <f ca="1">_xlfn.FORMULATEXT(G1031)</f>
        <v>=AVERAGEIFS(E1029:E1040,C1029:C1040,G1029,D1029:D1040,G1030)</v>
      </c>
      <c r="H1032" s="71"/>
      <c r="I1032" s="71"/>
    </row>
    <row r="1033" spans="1:9" x14ac:dyDescent="0.3">
      <c r="A1033" s="67">
        <v>2005</v>
      </c>
      <c r="B1033" s="21">
        <v>46099</v>
      </c>
      <c r="C1033" s="67" t="s">
        <v>314</v>
      </c>
      <c r="D1033" s="67" t="s">
        <v>1024</v>
      </c>
      <c r="E1033" s="67">
        <v>38</v>
      </c>
      <c r="F1033" s="67"/>
      <c r="G1033" s="67"/>
    </row>
    <row r="1034" spans="1:9" x14ac:dyDescent="0.3">
      <c r="A1034" s="67">
        <v>2006</v>
      </c>
      <c r="B1034" s="21">
        <v>46115</v>
      </c>
      <c r="C1034" s="67" t="s">
        <v>315</v>
      </c>
      <c r="D1034" s="67" t="s">
        <v>1024</v>
      </c>
      <c r="E1034" s="67">
        <v>45</v>
      </c>
      <c r="F1034" s="67"/>
      <c r="G1034" s="67"/>
    </row>
    <row r="1035" spans="1:9" x14ac:dyDescent="0.3">
      <c r="A1035" s="67">
        <v>2007</v>
      </c>
      <c r="B1035" s="21">
        <v>46164</v>
      </c>
      <c r="C1035" s="67" t="s">
        <v>315</v>
      </c>
      <c r="D1035" s="67" t="s">
        <v>1025</v>
      </c>
      <c r="E1035" s="67">
        <v>58</v>
      </c>
      <c r="F1035" s="67"/>
      <c r="G1035" s="67"/>
    </row>
    <row r="1036" spans="1:9" x14ac:dyDescent="0.3">
      <c r="A1036" s="67">
        <v>2008</v>
      </c>
      <c r="B1036" s="21">
        <v>46204</v>
      </c>
      <c r="C1036" s="67" t="s">
        <v>316</v>
      </c>
      <c r="D1036" s="67" t="s">
        <v>1024</v>
      </c>
      <c r="E1036" s="67">
        <v>40</v>
      </c>
      <c r="F1036" s="67"/>
      <c r="G1036" s="67"/>
    </row>
    <row r="1037" spans="1:9" x14ac:dyDescent="0.3">
      <c r="A1037" s="67">
        <v>2009</v>
      </c>
      <c r="B1037" s="21">
        <v>46248</v>
      </c>
      <c r="C1037" s="67" t="s">
        <v>316</v>
      </c>
      <c r="D1037" s="67" t="s">
        <v>1027</v>
      </c>
      <c r="E1037" s="67">
        <v>85</v>
      </c>
      <c r="F1037" s="67"/>
      <c r="G1037" s="67"/>
    </row>
    <row r="1038" spans="1:9" x14ac:dyDescent="0.3">
      <c r="A1038" s="67">
        <v>2010</v>
      </c>
      <c r="B1038" s="21">
        <v>46325</v>
      </c>
      <c r="C1038" s="67" t="s">
        <v>317</v>
      </c>
      <c r="D1038" s="67" t="s">
        <v>1024</v>
      </c>
      <c r="E1038" s="67">
        <v>62</v>
      </c>
      <c r="F1038" s="67"/>
      <c r="G1038" s="67"/>
    </row>
    <row r="1039" spans="1:9" x14ac:dyDescent="0.3">
      <c r="A1039" s="67">
        <v>2011</v>
      </c>
      <c r="B1039" s="21">
        <v>46331</v>
      </c>
      <c r="C1039" s="67" t="s">
        <v>317</v>
      </c>
      <c r="D1039" s="67" t="s">
        <v>1025</v>
      </c>
      <c r="E1039" s="67">
        <v>47</v>
      </c>
      <c r="F1039" s="67"/>
      <c r="G1039" s="67"/>
    </row>
    <row r="1040" spans="1:9" x14ac:dyDescent="0.3">
      <c r="A1040" s="67">
        <v>2012</v>
      </c>
      <c r="B1040" s="21">
        <v>46109</v>
      </c>
      <c r="C1040" s="67" t="s">
        <v>314</v>
      </c>
      <c r="D1040" s="67" t="s">
        <v>1024</v>
      </c>
      <c r="E1040" s="67">
        <v>61</v>
      </c>
      <c r="F1040" s="67"/>
      <c r="G1040" s="67"/>
    </row>
    <row r="1043" spans="1:4" x14ac:dyDescent="0.3">
      <c r="A1043" s="22" t="s">
        <v>1028</v>
      </c>
    </row>
    <row r="1044" spans="1:4" ht="156" x14ac:dyDescent="0.3">
      <c r="A1044" s="5" t="s">
        <v>1029</v>
      </c>
    </row>
    <row r="1045" spans="1:4" x14ac:dyDescent="0.3">
      <c r="A1045" s="67" t="s">
        <v>1011</v>
      </c>
    </row>
    <row r="1046" spans="1:4" x14ac:dyDescent="0.3">
      <c r="A1046" s="30" t="s">
        <v>1049</v>
      </c>
    </row>
    <row r="1047" spans="1:4" x14ac:dyDescent="0.3">
      <c r="A1047" s="30" t="s">
        <v>1050</v>
      </c>
    </row>
    <row r="1048" spans="1:4" x14ac:dyDescent="0.3">
      <c r="A1048" s="30" t="s">
        <v>1051</v>
      </c>
    </row>
    <row r="1049" spans="1:4" x14ac:dyDescent="0.3">
      <c r="A1049" s="20"/>
    </row>
    <row r="1050" spans="1:4" x14ac:dyDescent="0.3">
      <c r="A1050" s="67" t="s">
        <v>1030</v>
      </c>
    </row>
    <row r="1052" spans="1:4" x14ac:dyDescent="0.3">
      <c r="A1052" s="10" t="s">
        <v>1031</v>
      </c>
      <c r="B1052" s="10" t="s">
        <v>1032</v>
      </c>
      <c r="C1052" s="10" t="s">
        <v>1033</v>
      </c>
      <c r="D1052" s="10" t="s">
        <v>1034</v>
      </c>
    </row>
    <row r="1053" spans="1:4" x14ac:dyDescent="0.3">
      <c r="A1053" s="67" t="s">
        <v>1035</v>
      </c>
      <c r="B1053" s="21">
        <v>45303</v>
      </c>
      <c r="C1053" s="67" t="s">
        <v>1002</v>
      </c>
      <c r="D1053" s="67">
        <v>18000</v>
      </c>
    </row>
    <row r="1054" spans="1:4" x14ac:dyDescent="0.3">
      <c r="A1054" s="67" t="s">
        <v>1036</v>
      </c>
      <c r="B1054" s="21">
        <v>45330</v>
      </c>
      <c r="C1054" s="67" t="s">
        <v>1004</v>
      </c>
      <c r="D1054" s="67">
        <v>42000</v>
      </c>
    </row>
    <row r="1055" spans="1:4" x14ac:dyDescent="0.3">
      <c r="A1055" s="67" t="s">
        <v>1037</v>
      </c>
      <c r="B1055" s="21">
        <v>45370</v>
      </c>
      <c r="C1055" s="67" t="s">
        <v>1006</v>
      </c>
      <c r="D1055" s="67">
        <v>9500</v>
      </c>
    </row>
    <row r="1056" spans="1:4" x14ac:dyDescent="0.3">
      <c r="A1056" s="67" t="s">
        <v>1038</v>
      </c>
      <c r="B1056" s="21">
        <v>45387</v>
      </c>
      <c r="C1056" s="67" t="s">
        <v>1002</v>
      </c>
      <c r="D1056" s="67">
        <v>27500</v>
      </c>
    </row>
    <row r="1057" spans="1:4" x14ac:dyDescent="0.3">
      <c r="A1057" s="67" t="s">
        <v>1039</v>
      </c>
      <c r="B1057" s="21">
        <v>45404</v>
      </c>
      <c r="C1057" s="67" t="s">
        <v>1004</v>
      </c>
      <c r="D1057" s="67">
        <v>31500</v>
      </c>
    </row>
    <row r="1058" spans="1:4" x14ac:dyDescent="0.3">
      <c r="A1058" s="67" t="s">
        <v>1040</v>
      </c>
      <c r="B1058" s="21">
        <v>45415</v>
      </c>
      <c r="C1058" s="67" t="s">
        <v>1006</v>
      </c>
      <c r="D1058" s="67">
        <v>14000</v>
      </c>
    </row>
    <row r="1059" spans="1:4" x14ac:dyDescent="0.3">
      <c r="A1059" s="67" t="s">
        <v>1041</v>
      </c>
      <c r="B1059" s="21">
        <v>45430</v>
      </c>
      <c r="C1059" s="67" t="s">
        <v>1002</v>
      </c>
      <c r="D1059" s="67">
        <v>33800</v>
      </c>
    </row>
    <row r="1060" spans="1:4" x14ac:dyDescent="0.3">
      <c r="A1060" s="67" t="s">
        <v>1042</v>
      </c>
      <c r="B1060" s="21">
        <v>45454</v>
      </c>
      <c r="C1060" s="67" t="s">
        <v>1004</v>
      </c>
      <c r="D1060" s="67">
        <v>28600</v>
      </c>
    </row>
    <row r="1061" spans="1:4" x14ac:dyDescent="0.3">
      <c r="A1061" s="67" t="s">
        <v>1043</v>
      </c>
      <c r="B1061" s="21">
        <v>45470</v>
      </c>
      <c r="C1061" s="67" t="s">
        <v>1006</v>
      </c>
      <c r="D1061" s="67">
        <v>22100</v>
      </c>
    </row>
    <row r="1062" spans="1:4" x14ac:dyDescent="0.3">
      <c r="A1062" s="67" t="s">
        <v>1044</v>
      </c>
      <c r="B1062" s="21">
        <v>45518</v>
      </c>
      <c r="C1062" s="67" t="s">
        <v>1002</v>
      </c>
      <c r="D1062" s="67">
        <v>45800</v>
      </c>
    </row>
    <row r="1063" spans="1:4" x14ac:dyDescent="0.3">
      <c r="A1063" s="67" t="s">
        <v>1045</v>
      </c>
      <c r="B1063" s="21">
        <v>45544</v>
      </c>
      <c r="C1063" s="67" t="s">
        <v>1004</v>
      </c>
      <c r="D1063" s="67">
        <v>51200</v>
      </c>
    </row>
    <row r="1064" spans="1:4" x14ac:dyDescent="0.3">
      <c r="A1064" s="67" t="s">
        <v>1046</v>
      </c>
      <c r="B1064" s="21">
        <v>45617</v>
      </c>
      <c r="C1064" s="67" t="s">
        <v>1006</v>
      </c>
      <c r="D1064" s="67">
        <v>11700</v>
      </c>
    </row>
    <row r="1065" spans="1:4" x14ac:dyDescent="0.3">
      <c r="A1065" s="67"/>
      <c r="B1065" s="67"/>
      <c r="C1065" s="67"/>
      <c r="D1065" s="67"/>
    </row>
    <row r="1066" spans="1:4" x14ac:dyDescent="0.3">
      <c r="A1066" s="67" t="s">
        <v>1047</v>
      </c>
      <c r="B1066" s="21">
        <v>45383</v>
      </c>
      <c r="C1066" s="67"/>
      <c r="D1066" s="67"/>
    </row>
    <row r="1067" spans="1:4" x14ac:dyDescent="0.3">
      <c r="A1067" s="67" t="s">
        <v>1048</v>
      </c>
      <c r="B1067" s="21">
        <v>45473</v>
      </c>
      <c r="C1067" s="67"/>
      <c r="D1067" s="67"/>
    </row>
    <row r="1068" spans="1:4" x14ac:dyDescent="0.3">
      <c r="A1068" s="67"/>
      <c r="B1068" s="67"/>
      <c r="C1068" s="67"/>
      <c r="D1068" s="67"/>
    </row>
    <row r="1069" spans="1:4" x14ac:dyDescent="0.3">
      <c r="A1069" s="67" t="s">
        <v>1002</v>
      </c>
      <c r="B1069" s="8">
        <f>AVERAGEIFS($D$1053:$D$1064,$C$1053:$C$1064,A1069,$B$1053:$B$1064,"&gt;="&amp;$B$1066,$B$1053:$B$1064,"&lt;="&amp;$B$1067)</f>
        <v>30650</v>
      </c>
      <c r="C1069" s="67"/>
      <c r="D1069" s="67"/>
    </row>
    <row r="1070" spans="1:4" x14ac:dyDescent="0.3">
      <c r="A1070" s="67" t="s">
        <v>1004</v>
      </c>
      <c r="B1070" s="8">
        <f>AVERAGEIFS($D$1053:$D$1064,$C$1053:$C$1064,A1070,$B$1053:$B$1064,"&gt;="&amp;$B$1066,$B$1053:$B$1064,"&lt;="&amp;$B$1067)</f>
        <v>30050</v>
      </c>
      <c r="C1070" s="67"/>
      <c r="D1070" s="67"/>
    </row>
    <row r="1071" spans="1:4" x14ac:dyDescent="0.3">
      <c r="A1071" s="67" t="s">
        <v>1006</v>
      </c>
      <c r="B1071" s="8">
        <f>AVERAGEIFS($D$1053:$D$1064,$C$1053:$C$1064,A1071,$B$1053:$B$1064,"&gt;="&amp;$B$1066,$B$1053:$B$1064,"&lt;="&amp;$B$1067)</f>
        <v>18050</v>
      </c>
      <c r="C1071" s="67"/>
      <c r="D1071" s="67"/>
    </row>
    <row r="1073" spans="1:3" x14ac:dyDescent="0.3">
      <c r="B1073" s="72" t="str">
        <f ca="1">_xlfn.FORMULATEXT(B1069)</f>
        <v>=AVERAGEIFS($D$1053:$D$1064,$C$1053:$C$1064,A1069,$B$1053:$B$1064,"&gt;="&amp;$B$1066,$B$1053:$B$1064,"&lt;="&amp;$B$1067)</v>
      </c>
      <c r="C1073" s="72"/>
    </row>
    <row r="1074" spans="1:3" x14ac:dyDescent="0.3">
      <c r="B1074" s="72"/>
      <c r="C1074" s="72"/>
    </row>
    <row r="1076" spans="1:3" x14ac:dyDescent="0.3">
      <c r="A1076" s="22" t="s">
        <v>1052</v>
      </c>
    </row>
    <row r="1077" spans="1:3" ht="31.2" x14ac:dyDescent="0.3">
      <c r="A1077" s="67" t="s">
        <v>1053</v>
      </c>
    </row>
    <row r="1078" spans="1:3" x14ac:dyDescent="0.3">
      <c r="A1078" s="20"/>
    </row>
    <row r="1079" spans="1:3" x14ac:dyDescent="0.3">
      <c r="A1079" s="67" t="s">
        <v>1054</v>
      </c>
    </row>
    <row r="1080" spans="1:3" x14ac:dyDescent="0.3">
      <c r="A1080" s="30"/>
    </row>
    <row r="1081" spans="1:3" x14ac:dyDescent="0.3">
      <c r="A1081" s="30" t="s">
        <v>1058</v>
      </c>
    </row>
    <row r="1082" spans="1:3" x14ac:dyDescent="0.3">
      <c r="A1082" s="30" t="s">
        <v>1059</v>
      </c>
    </row>
    <row r="1083" spans="1:3" x14ac:dyDescent="0.3">
      <c r="A1083" s="20"/>
    </row>
    <row r="1084" spans="1:3" x14ac:dyDescent="0.3">
      <c r="A1084" s="67" t="s">
        <v>1055</v>
      </c>
    </row>
    <row r="1085" spans="1:3" x14ac:dyDescent="0.3">
      <c r="A1085" s="67" t="s">
        <v>1056</v>
      </c>
    </row>
    <row r="1086" spans="1:3" x14ac:dyDescent="0.3">
      <c r="A1086" s="30"/>
    </row>
    <row r="1087" spans="1:3" ht="31.2" x14ac:dyDescent="0.3">
      <c r="A1087" s="30" t="s">
        <v>1060</v>
      </c>
    </row>
    <row r="1088" spans="1:3" x14ac:dyDescent="0.3">
      <c r="A1088" s="30" t="s">
        <v>1061</v>
      </c>
    </row>
    <row r="1089" spans="1:11" x14ac:dyDescent="0.3">
      <c r="A1089" s="30" t="s">
        <v>1062</v>
      </c>
    </row>
    <row r="1090" spans="1:11" x14ac:dyDescent="0.3">
      <c r="A1090" s="30" t="s">
        <v>1063</v>
      </c>
    </row>
    <row r="1091" spans="1:11" x14ac:dyDescent="0.3">
      <c r="A1091" s="30" t="s">
        <v>1064</v>
      </c>
    </row>
    <row r="1092" spans="1:11" x14ac:dyDescent="0.3">
      <c r="A1092" s="20"/>
    </row>
    <row r="1093" spans="1:11" x14ac:dyDescent="0.3">
      <c r="A1093" s="67" t="s">
        <v>1057</v>
      </c>
    </row>
    <row r="1095" spans="1:11" x14ac:dyDescent="0.3">
      <c r="A1095" s="68" t="s">
        <v>1065</v>
      </c>
      <c r="B1095" s="67"/>
      <c r="C1095" s="67"/>
      <c r="D1095" s="67"/>
      <c r="E1095" s="67"/>
      <c r="F1095" s="69" t="s">
        <v>1066</v>
      </c>
      <c r="G1095" s="67"/>
      <c r="H1095" s="67"/>
      <c r="I1095" s="67"/>
      <c r="J1095" s="67"/>
      <c r="K1095" s="60" t="s">
        <v>1067</v>
      </c>
    </row>
    <row r="1096" spans="1:11" x14ac:dyDescent="0.3">
      <c r="A1096" s="10" t="s">
        <v>1068</v>
      </c>
      <c r="B1096" s="10" t="s">
        <v>1069</v>
      </c>
      <c r="C1096" s="10" t="s">
        <v>1070</v>
      </c>
      <c r="D1096" s="10" t="s">
        <v>869</v>
      </c>
      <c r="E1096" s="67"/>
      <c r="F1096" s="10" t="s">
        <v>1068</v>
      </c>
      <c r="G1096" s="10" t="s">
        <v>1069</v>
      </c>
      <c r="H1096" s="10" t="s">
        <v>1070</v>
      </c>
      <c r="I1096" s="10" t="s">
        <v>869</v>
      </c>
      <c r="J1096" s="67"/>
      <c r="K1096" s="10" t="s">
        <v>307</v>
      </c>
    </row>
    <row r="1097" spans="1:11" x14ac:dyDescent="0.3">
      <c r="A1097" s="21">
        <v>45352</v>
      </c>
      <c r="B1097" s="67" t="s">
        <v>1071</v>
      </c>
      <c r="C1097" s="67" t="s">
        <v>1072</v>
      </c>
      <c r="D1097" s="67">
        <v>-245.5</v>
      </c>
      <c r="E1097" s="67"/>
      <c r="F1097" s="21">
        <v>45352</v>
      </c>
      <c r="G1097" s="67" t="s">
        <v>1071</v>
      </c>
      <c r="H1097" s="67" t="s">
        <v>1072</v>
      </c>
      <c r="I1097" s="67">
        <v>-245.5</v>
      </c>
      <c r="J1097" s="67"/>
      <c r="K1097" s="28" t="str">
        <f>IF(ISNA(VLOOKUP(B1097,$G$1097:$G$1103,1,FALSE)),"Missing","Match")</f>
        <v>Match</v>
      </c>
    </row>
    <row r="1098" spans="1:11" x14ac:dyDescent="0.3">
      <c r="A1098" s="21">
        <v>45353</v>
      </c>
      <c r="B1098" s="67" t="s">
        <v>1073</v>
      </c>
      <c r="C1098" s="67" t="s">
        <v>1074</v>
      </c>
      <c r="D1098" s="67">
        <v>3500</v>
      </c>
      <c r="E1098" s="67"/>
      <c r="F1098" s="21">
        <v>45353</v>
      </c>
      <c r="G1098" s="67" t="s">
        <v>1073</v>
      </c>
      <c r="H1098" s="67" t="s">
        <v>1074</v>
      </c>
      <c r="I1098" s="67">
        <v>3500</v>
      </c>
      <c r="J1098" s="67"/>
      <c r="K1098" s="28" t="str">
        <f t="shared" ref="K1098:K1104" si="33">IF(ISNA(VLOOKUP(B1098,$G$1097:$G$1103,1,FALSE)),"Missing","Match")</f>
        <v>Match</v>
      </c>
    </row>
    <row r="1099" spans="1:11" x14ac:dyDescent="0.3">
      <c r="A1099" s="21">
        <v>45356</v>
      </c>
      <c r="B1099" s="67" t="s">
        <v>1075</v>
      </c>
      <c r="C1099" s="67" t="s">
        <v>3</v>
      </c>
      <c r="D1099" s="67">
        <v>-2200</v>
      </c>
      <c r="E1099" s="67"/>
      <c r="F1099" s="21">
        <v>45356</v>
      </c>
      <c r="G1099" s="67" t="s">
        <v>1075</v>
      </c>
      <c r="H1099" s="67" t="s">
        <v>3</v>
      </c>
      <c r="I1099" s="67">
        <v>-2200</v>
      </c>
      <c r="J1099" s="67"/>
      <c r="K1099" s="28" t="str">
        <f t="shared" si="33"/>
        <v>Match</v>
      </c>
    </row>
    <row r="1100" spans="1:11" x14ac:dyDescent="0.3">
      <c r="A1100" s="21">
        <v>45359</v>
      </c>
      <c r="B1100" s="67" t="s">
        <v>1076</v>
      </c>
      <c r="C1100" s="67" t="s">
        <v>356</v>
      </c>
      <c r="D1100" s="67">
        <v>-4850</v>
      </c>
      <c r="E1100" s="67"/>
      <c r="F1100" s="21">
        <v>45359</v>
      </c>
      <c r="G1100" s="67" t="s">
        <v>1076</v>
      </c>
      <c r="H1100" s="67" t="s">
        <v>356</v>
      </c>
      <c r="I1100" s="67">
        <v>-4850</v>
      </c>
      <c r="J1100" s="67"/>
      <c r="K1100" s="28" t="str">
        <f t="shared" si="33"/>
        <v>Match</v>
      </c>
    </row>
    <row r="1101" spans="1:11" x14ac:dyDescent="0.3">
      <c r="A1101" s="21">
        <v>45361</v>
      </c>
      <c r="B1101" s="67" t="s">
        <v>1077</v>
      </c>
      <c r="C1101" s="67" t="s">
        <v>1078</v>
      </c>
      <c r="D1101" s="67">
        <v>1875</v>
      </c>
      <c r="E1101" s="67"/>
      <c r="F1101" s="21">
        <v>45363</v>
      </c>
      <c r="G1101" s="67" t="s">
        <v>1079</v>
      </c>
      <c r="H1101" s="67" t="s">
        <v>1080</v>
      </c>
      <c r="I1101" s="67">
        <v>2500</v>
      </c>
      <c r="J1101" s="67"/>
      <c r="K1101" s="28" t="str">
        <f t="shared" si="33"/>
        <v>Missing</v>
      </c>
    </row>
    <row r="1102" spans="1:11" x14ac:dyDescent="0.3">
      <c r="A1102" s="21">
        <v>45366</v>
      </c>
      <c r="B1102" s="67" t="s">
        <v>1081</v>
      </c>
      <c r="C1102" s="67" t="s">
        <v>1082</v>
      </c>
      <c r="D1102" s="67">
        <v>-680</v>
      </c>
      <c r="E1102" s="67"/>
      <c r="F1102" s="21">
        <v>45366</v>
      </c>
      <c r="G1102" s="67" t="s">
        <v>1081</v>
      </c>
      <c r="H1102" s="67" t="s">
        <v>1082</v>
      </c>
      <c r="I1102" s="67">
        <v>-680</v>
      </c>
      <c r="J1102" s="67"/>
      <c r="K1102" s="28" t="str">
        <f t="shared" si="33"/>
        <v>Match</v>
      </c>
    </row>
    <row r="1103" spans="1:11" x14ac:dyDescent="0.3">
      <c r="A1103" s="21">
        <v>45369</v>
      </c>
      <c r="B1103" s="67" t="s">
        <v>1083</v>
      </c>
      <c r="C1103" s="67" t="s">
        <v>1084</v>
      </c>
      <c r="D1103" s="67">
        <v>-35</v>
      </c>
      <c r="E1103" s="67"/>
      <c r="F1103" s="21">
        <v>45371</v>
      </c>
      <c r="G1103" s="67" t="s">
        <v>1085</v>
      </c>
      <c r="H1103" s="67" t="s">
        <v>67</v>
      </c>
      <c r="I1103" s="67">
        <v>-925</v>
      </c>
      <c r="J1103" s="67"/>
      <c r="K1103" s="28" t="str">
        <f t="shared" si="33"/>
        <v>Missing</v>
      </c>
    </row>
    <row r="1104" spans="1:11" x14ac:dyDescent="0.3">
      <c r="A1104" s="21">
        <v>45373</v>
      </c>
      <c r="B1104" s="67" t="s">
        <v>1079</v>
      </c>
      <c r="C1104" s="67" t="s">
        <v>1080</v>
      </c>
      <c r="D1104" s="67">
        <v>2500</v>
      </c>
      <c r="E1104" s="67"/>
      <c r="F1104" s="67"/>
      <c r="G1104" s="67"/>
      <c r="H1104" s="67"/>
      <c r="I1104" s="67"/>
      <c r="J1104" s="67"/>
      <c r="K1104" s="28" t="str">
        <f t="shared" si="33"/>
        <v>Match</v>
      </c>
    </row>
    <row r="1105" spans="1:11" x14ac:dyDescent="0.3">
      <c r="A1105" s="67"/>
      <c r="B1105" s="67"/>
      <c r="C1105" s="67"/>
      <c r="D1105" s="67"/>
      <c r="E1105" s="67"/>
      <c r="F1105" s="67"/>
      <c r="G1105" s="67"/>
      <c r="H1105" s="67"/>
      <c r="I1105" s="67"/>
      <c r="J1105" s="67"/>
      <c r="K1105" s="67"/>
    </row>
    <row r="1106" spans="1:11" x14ac:dyDescent="0.3">
      <c r="A1106" s="48" t="s">
        <v>331</v>
      </c>
      <c r="B1106" s="67"/>
      <c r="C1106" s="67"/>
      <c r="D1106" s="67"/>
      <c r="E1106" s="67"/>
      <c r="F1106" s="67"/>
      <c r="G1106" s="67"/>
      <c r="H1106" s="67"/>
      <c r="I1106" s="71" t="str">
        <f ca="1">_xlfn.FORMULATEXT(K1097)</f>
        <v>=IF(ISNA(VLOOKUP(B1097,$G$1097:$G$1103,1,FALSE)),"Missing","Match")</v>
      </c>
      <c r="J1106" s="71"/>
      <c r="K1106" s="71"/>
    </row>
    <row r="1107" spans="1:11" x14ac:dyDescent="0.3">
      <c r="A1107" s="67" t="s">
        <v>1086</v>
      </c>
      <c r="B1107" s="67"/>
      <c r="C1107" s="28">
        <f>SUM(D1097:D1104)</f>
        <v>-135.5</v>
      </c>
      <c r="D1107" s="67"/>
      <c r="E1107" s="67"/>
      <c r="F1107" s="67"/>
      <c r="G1107" s="67"/>
      <c r="H1107" s="67"/>
      <c r="I1107" s="67"/>
      <c r="J1107" s="67"/>
      <c r="K1107" s="67"/>
    </row>
    <row r="1108" spans="1:11" x14ac:dyDescent="0.3">
      <c r="A1108" s="67" t="s">
        <v>1087</v>
      </c>
      <c r="B1108" s="67"/>
      <c r="C1108" s="28">
        <f>SUM(I1097:I1103)</f>
        <v>-2900.5</v>
      </c>
      <c r="D1108" s="67"/>
      <c r="E1108" s="67"/>
      <c r="F1108" s="67"/>
      <c r="G1108" s="67"/>
      <c r="H1108" s="67"/>
      <c r="I1108" s="67"/>
      <c r="J1108" s="67"/>
      <c r="K1108" s="67"/>
    </row>
    <row r="1109" spans="1:11" x14ac:dyDescent="0.3">
      <c r="A1109" s="67" t="s">
        <v>1088</v>
      </c>
      <c r="B1109" s="67"/>
      <c r="C1109" s="28">
        <f>C1107-C1108</f>
        <v>2765</v>
      </c>
      <c r="D1109" s="67"/>
      <c r="E1109" s="67"/>
      <c r="F1109" s="67"/>
      <c r="G1109" s="67"/>
      <c r="H1109" s="67"/>
      <c r="I1109" s="67"/>
      <c r="J1109" s="67"/>
      <c r="K1109" s="67"/>
    </row>
    <row r="1110" spans="1:11" x14ac:dyDescent="0.3">
      <c r="A1110" s="67" t="s">
        <v>1089</v>
      </c>
      <c r="B1110" s="67"/>
      <c r="C1110" s="28">
        <f>SUMIF(K1097:K1104,"Missing",D1097:D1104)</f>
        <v>1840</v>
      </c>
      <c r="D1110" s="67"/>
      <c r="E1110" s="67"/>
      <c r="F1110" s="67"/>
      <c r="G1110" s="67"/>
      <c r="H1110" s="67"/>
      <c r="I1110" s="67"/>
      <c r="J1110" s="67"/>
      <c r="K1110" s="67"/>
    </row>
    <row r="1111" spans="1:11" x14ac:dyDescent="0.3">
      <c r="A1111" s="67"/>
      <c r="B1111" s="67"/>
      <c r="C1111" s="67"/>
      <c r="D1111" s="67"/>
      <c r="E1111" s="67"/>
      <c r="F1111" s="67"/>
      <c r="G1111" s="67"/>
      <c r="H1111" s="67"/>
      <c r="I1111" s="67"/>
      <c r="J1111" s="67"/>
      <c r="K1111" s="67"/>
    </row>
    <row r="1112" spans="1:11" x14ac:dyDescent="0.3">
      <c r="A1112" s="22" t="s">
        <v>1090</v>
      </c>
      <c r="B1112" s="67"/>
      <c r="C1112" s="67"/>
      <c r="D1112" s="67"/>
      <c r="E1112" s="67"/>
      <c r="F1112" s="67"/>
      <c r="G1112" s="67"/>
      <c r="H1112" s="67"/>
      <c r="I1112" s="67"/>
      <c r="J1112" s="67"/>
      <c r="K1112" s="67"/>
    </row>
    <row r="1113" spans="1:11" x14ac:dyDescent="0.3">
      <c r="A1113" s="67" t="s">
        <v>1091</v>
      </c>
      <c r="B1113" s="67"/>
      <c r="C1113" s="67"/>
      <c r="D1113" s="67"/>
      <c r="E1113" s="67"/>
      <c r="F1113" s="67"/>
      <c r="G1113" s="67"/>
      <c r="H1113" s="67"/>
      <c r="I1113" s="67"/>
      <c r="J1113" s="67"/>
      <c r="K1113" s="67"/>
    </row>
    <row r="1114" spans="1:11" x14ac:dyDescent="0.3">
      <c r="A1114" s="67" t="s">
        <v>1094</v>
      </c>
      <c r="B1114" s="67"/>
      <c r="C1114" s="67"/>
    </row>
    <row r="1115" spans="1:11" x14ac:dyDescent="0.3">
      <c r="A1115" s="67" t="s">
        <v>1092</v>
      </c>
      <c r="B1115" s="67"/>
      <c r="C1115" s="67"/>
    </row>
    <row r="1116" spans="1:11" x14ac:dyDescent="0.3">
      <c r="A1116" s="67" t="s">
        <v>1095</v>
      </c>
      <c r="B1116" s="67"/>
      <c r="C1116" s="67"/>
    </row>
    <row r="1117" spans="1:11" x14ac:dyDescent="0.3">
      <c r="A1117" s="67" t="s">
        <v>1096</v>
      </c>
      <c r="B1117" s="67"/>
      <c r="C1117" s="67"/>
    </row>
    <row r="1118" spans="1:11" x14ac:dyDescent="0.3">
      <c r="A1118" s="67" t="s">
        <v>954</v>
      </c>
      <c r="B1118" s="67"/>
      <c r="C1118" s="67"/>
    </row>
    <row r="1119" spans="1:11" x14ac:dyDescent="0.3">
      <c r="A1119" s="67" t="s">
        <v>1097</v>
      </c>
      <c r="B1119" s="67"/>
      <c r="C1119" s="67"/>
    </row>
    <row r="1120" spans="1:11" x14ac:dyDescent="0.3">
      <c r="A1120" s="67"/>
      <c r="B1120" s="67"/>
      <c r="C1120" s="67"/>
    </row>
    <row r="1121" spans="1:3" x14ac:dyDescent="0.3">
      <c r="A1121" s="67" t="s">
        <v>73</v>
      </c>
      <c r="B1121" s="67" t="s">
        <v>1000</v>
      </c>
      <c r="C1121" s="67"/>
    </row>
    <row r="1122" spans="1:3" x14ac:dyDescent="0.3">
      <c r="A1122" s="67" t="s">
        <v>75</v>
      </c>
      <c r="B1122" s="67">
        <v>18200</v>
      </c>
      <c r="C1122" s="67"/>
    </row>
    <row r="1123" spans="1:3" x14ac:dyDescent="0.3">
      <c r="A1123" s="67" t="s">
        <v>76</v>
      </c>
      <c r="B1123" s="67">
        <v>16500</v>
      </c>
      <c r="C1123" s="67"/>
    </row>
    <row r="1124" spans="1:3" x14ac:dyDescent="0.3">
      <c r="A1124" s="67" t="s">
        <v>77</v>
      </c>
      <c r="B1124" s="67">
        <v>19350</v>
      </c>
      <c r="C1124" s="67"/>
    </row>
    <row r="1125" spans="1:3" x14ac:dyDescent="0.3">
      <c r="A1125" s="67" t="s">
        <v>78</v>
      </c>
      <c r="B1125" s="67">
        <v>21000</v>
      </c>
      <c r="C1125" s="67"/>
    </row>
    <row r="1126" spans="1:3" x14ac:dyDescent="0.3">
      <c r="A1126" s="67" t="s">
        <v>79</v>
      </c>
      <c r="B1126" s="67">
        <v>19800</v>
      </c>
      <c r="C1126" s="67"/>
    </row>
    <row r="1127" spans="1:3" x14ac:dyDescent="0.3">
      <c r="A1127" s="67" t="s">
        <v>80</v>
      </c>
      <c r="B1127" s="67">
        <v>22500</v>
      </c>
      <c r="C1127" s="67"/>
    </row>
    <row r="1128" spans="1:3" x14ac:dyDescent="0.3">
      <c r="A1128" s="67"/>
      <c r="B1128" s="67"/>
      <c r="C1128" s="67"/>
    </row>
    <row r="1129" spans="1:3" x14ac:dyDescent="0.3">
      <c r="A1129" s="67" t="s">
        <v>1093</v>
      </c>
      <c r="B1129" s="8">
        <f>SUM(B1122:B1127)</f>
        <v>117350</v>
      </c>
      <c r="C1129" s="67"/>
    </row>
    <row r="1130" spans="1:3" x14ac:dyDescent="0.3">
      <c r="A1130" s="67"/>
      <c r="B1130" s="67"/>
      <c r="C1130" s="67"/>
    </row>
    <row r="1131" spans="1:3" x14ac:dyDescent="0.3">
      <c r="A1131" s="22" t="s">
        <v>1098</v>
      </c>
      <c r="B1131" s="67"/>
      <c r="C1131" s="67"/>
    </row>
    <row r="1132" spans="1:3" x14ac:dyDescent="0.3">
      <c r="A1132" s="67" t="s">
        <v>1099</v>
      </c>
      <c r="B1132" s="67"/>
    </row>
    <row r="1133" spans="1:3" x14ac:dyDescent="0.3">
      <c r="A1133" s="67" t="s">
        <v>1100</v>
      </c>
      <c r="B1133" s="67"/>
    </row>
    <row r="1134" spans="1:3" x14ac:dyDescent="0.3">
      <c r="A1134" s="67" t="s">
        <v>1101</v>
      </c>
      <c r="B1134" s="67"/>
    </row>
    <row r="1135" spans="1:3" x14ac:dyDescent="0.3">
      <c r="A1135" s="67" t="s">
        <v>1011</v>
      </c>
      <c r="B1135" s="67"/>
    </row>
    <row r="1136" spans="1:3" x14ac:dyDescent="0.3">
      <c r="A1136" s="67" t="s">
        <v>1102</v>
      </c>
      <c r="B1136" s="67"/>
    </row>
    <row r="1137" spans="1:2" x14ac:dyDescent="0.3">
      <c r="A1137" s="67" t="s">
        <v>1103</v>
      </c>
      <c r="B1137" s="67"/>
    </row>
    <row r="1138" spans="1:2" x14ac:dyDescent="0.3">
      <c r="A1138" s="67"/>
      <c r="B1138" s="67"/>
    </row>
    <row r="1139" spans="1:2" x14ac:dyDescent="0.3">
      <c r="A1139" s="10" t="s">
        <v>104</v>
      </c>
      <c r="B1139" s="10" t="s">
        <v>1104</v>
      </c>
    </row>
    <row r="1140" spans="1:2" x14ac:dyDescent="0.3">
      <c r="A1140" s="67" t="s">
        <v>1105</v>
      </c>
      <c r="B1140" s="67">
        <v>85</v>
      </c>
    </row>
    <row r="1141" spans="1:2" x14ac:dyDescent="0.3">
      <c r="A1141" s="67" t="s">
        <v>1106</v>
      </c>
      <c r="B1141" s="67">
        <v>120</v>
      </c>
    </row>
    <row r="1142" spans="1:2" x14ac:dyDescent="0.3">
      <c r="A1142" s="67" t="s">
        <v>1107</v>
      </c>
      <c r="B1142" s="67">
        <v>45</v>
      </c>
    </row>
    <row r="1143" spans="1:2" x14ac:dyDescent="0.3">
      <c r="A1143" s="67" t="s">
        <v>1108</v>
      </c>
      <c r="B1143" s="67">
        <v>200</v>
      </c>
    </row>
    <row r="1144" spans="1:2" x14ac:dyDescent="0.3">
      <c r="A1144" s="67" t="s">
        <v>1109</v>
      </c>
      <c r="B1144" s="67">
        <v>75</v>
      </c>
    </row>
    <row r="1145" spans="1:2" x14ac:dyDescent="0.3">
      <c r="A1145" s="67" t="s">
        <v>1110</v>
      </c>
      <c r="B1145" s="67">
        <v>150</v>
      </c>
    </row>
    <row r="1146" spans="1:2" x14ac:dyDescent="0.3">
      <c r="A1146" s="67"/>
      <c r="B1146" s="67"/>
    </row>
    <row r="1147" spans="1:2" x14ac:dyDescent="0.3">
      <c r="A1147" s="67" t="s">
        <v>1111</v>
      </c>
      <c r="B1147" s="8">
        <f>AVERAGE(B1140:B1145)</f>
        <v>112.5</v>
      </c>
    </row>
    <row r="1149" spans="1:2" x14ac:dyDescent="0.3">
      <c r="A1149" s="22" t="s">
        <v>1112</v>
      </c>
    </row>
    <row r="1150" spans="1:2" x14ac:dyDescent="0.3">
      <c r="A1150" s="67" t="s">
        <v>1113</v>
      </c>
    </row>
    <row r="1151" spans="1:2" ht="31.2" x14ac:dyDescent="0.3">
      <c r="A1151" s="67" t="s">
        <v>1114</v>
      </c>
    </row>
    <row r="1152" spans="1:2" x14ac:dyDescent="0.3">
      <c r="A1152" s="67" t="s">
        <v>1115</v>
      </c>
    </row>
    <row r="1153" spans="1:3" x14ac:dyDescent="0.3">
      <c r="A1153" s="70" t="s">
        <v>1122</v>
      </c>
    </row>
    <row r="1154" spans="1:3" x14ac:dyDescent="0.3">
      <c r="A1154" s="70" t="s">
        <v>1123</v>
      </c>
    </row>
    <row r="1155" spans="1:3" ht="31.2" x14ac:dyDescent="0.3">
      <c r="A1155" s="67" t="s">
        <v>1116</v>
      </c>
    </row>
    <row r="1156" spans="1:3" x14ac:dyDescent="0.3">
      <c r="A1156" s="67" t="s">
        <v>1011</v>
      </c>
    </row>
    <row r="1157" spans="1:3" x14ac:dyDescent="0.3">
      <c r="A1157" s="67" t="s">
        <v>1117</v>
      </c>
    </row>
    <row r="1158" spans="1:3" x14ac:dyDescent="0.3">
      <c r="A1158" s="30" t="s">
        <v>1118</v>
      </c>
    </row>
    <row r="1159" spans="1:3" x14ac:dyDescent="0.3">
      <c r="A1159" s="30" t="s">
        <v>1119</v>
      </c>
    </row>
    <row r="1160" spans="1:3" x14ac:dyDescent="0.3">
      <c r="A1160" s="30" t="s">
        <v>1120</v>
      </c>
    </row>
    <row r="1161" spans="1:3" x14ac:dyDescent="0.3">
      <c r="A1161" s="67" t="s">
        <v>1121</v>
      </c>
    </row>
    <row r="1162" spans="1:3" x14ac:dyDescent="0.3">
      <c r="A1162" s="30" t="s">
        <v>1124</v>
      </c>
      <c r="B1162" s="30"/>
      <c r="C1162" s="30"/>
    </row>
    <row r="1163" spans="1:3" x14ac:dyDescent="0.3">
      <c r="A1163" s="30" t="s">
        <v>1125</v>
      </c>
      <c r="B1163" s="30"/>
      <c r="C1163" s="30"/>
    </row>
    <row r="1164" spans="1:3" x14ac:dyDescent="0.3">
      <c r="A1164" s="30"/>
      <c r="B1164" s="30"/>
      <c r="C1164" s="30"/>
    </row>
    <row r="1165" spans="1:3" x14ac:dyDescent="0.3">
      <c r="A1165" s="30" t="s">
        <v>1126</v>
      </c>
      <c r="B1165" s="30" t="s">
        <v>1127</v>
      </c>
      <c r="C1165" s="30"/>
    </row>
    <row r="1166" spans="1:3" x14ac:dyDescent="0.3">
      <c r="A1166" s="30"/>
      <c r="B1166" s="30"/>
      <c r="C1166" s="30"/>
    </row>
    <row r="1167" spans="1:3" x14ac:dyDescent="0.3">
      <c r="A1167" s="30" t="s">
        <v>1128</v>
      </c>
      <c r="B1167" s="30">
        <v>75</v>
      </c>
      <c r="C1167" s="30"/>
    </row>
    <row r="1168" spans="1:3" x14ac:dyDescent="0.3">
      <c r="A1168" s="30" t="s">
        <v>1129</v>
      </c>
      <c r="B1168" s="30">
        <v>45</v>
      </c>
      <c r="C1168" s="30"/>
    </row>
    <row r="1169" spans="1:5" x14ac:dyDescent="0.3">
      <c r="A1169" s="30"/>
      <c r="B1169" s="30"/>
      <c r="C1169" s="30"/>
    </row>
    <row r="1170" spans="1:5" x14ac:dyDescent="0.3">
      <c r="A1170" s="30" t="s">
        <v>1130</v>
      </c>
      <c r="B1170" s="10">
        <v>24000</v>
      </c>
      <c r="C1170" s="30"/>
    </row>
    <row r="1171" spans="1:5" x14ac:dyDescent="0.3">
      <c r="A1171" s="30"/>
      <c r="B1171" s="67"/>
      <c r="C1171" s="30"/>
    </row>
    <row r="1172" spans="1:5" x14ac:dyDescent="0.3">
      <c r="A1172" s="30" t="s">
        <v>1131</v>
      </c>
      <c r="B1172" s="8">
        <f>B1167-B1168</f>
        <v>30</v>
      </c>
      <c r="C1172" s="30"/>
    </row>
    <row r="1173" spans="1:5" x14ac:dyDescent="0.3">
      <c r="A1173" s="30" t="s">
        <v>1112</v>
      </c>
      <c r="B1173" s="8">
        <f>B1170/B1172</f>
        <v>800</v>
      </c>
      <c r="C1173" s="30"/>
    </row>
    <row r="1174" spans="1:5" x14ac:dyDescent="0.3">
      <c r="A1174" s="30"/>
      <c r="B1174" s="30"/>
      <c r="C1174" s="30"/>
    </row>
    <row r="1175" spans="1:5" x14ac:dyDescent="0.3">
      <c r="A1175" s="22" t="s">
        <v>1132</v>
      </c>
      <c r="B1175" s="30"/>
      <c r="C1175" s="30"/>
    </row>
    <row r="1176" spans="1:5" ht="46.8" x14ac:dyDescent="0.3">
      <c r="A1176" s="30" t="s">
        <v>1133</v>
      </c>
      <c r="B1176" s="30"/>
      <c r="C1176" s="30"/>
    </row>
    <row r="1177" spans="1:5" ht="46.8" x14ac:dyDescent="0.3">
      <c r="A1177" s="30" t="s">
        <v>1134</v>
      </c>
      <c r="B1177" s="30"/>
      <c r="C1177" s="30"/>
    </row>
    <row r="1178" spans="1:5" x14ac:dyDescent="0.3">
      <c r="A1178" s="30" t="s">
        <v>1135</v>
      </c>
      <c r="B1178" s="30"/>
      <c r="C1178" s="30"/>
    </row>
    <row r="1179" spans="1:5" x14ac:dyDescent="0.3">
      <c r="A1179" s="30" t="s">
        <v>1136</v>
      </c>
      <c r="B1179" s="30"/>
      <c r="C1179" s="30"/>
    </row>
    <row r="1180" spans="1:5" x14ac:dyDescent="0.3">
      <c r="A1180" s="30" t="s">
        <v>1011</v>
      </c>
      <c r="B1180" s="30"/>
      <c r="C1180" s="30"/>
    </row>
    <row r="1181" spans="1:5" ht="46.8" x14ac:dyDescent="0.3">
      <c r="A1181" s="30" t="s">
        <v>1156</v>
      </c>
    </row>
    <row r="1182" spans="1:5" x14ac:dyDescent="0.3">
      <c r="A1182" s="30"/>
    </row>
    <row r="1183" spans="1:5" x14ac:dyDescent="0.3">
      <c r="A1183" s="13" t="s">
        <v>403</v>
      </c>
      <c r="B1183" s="13" t="s">
        <v>1137</v>
      </c>
      <c r="C1183" s="13" t="s">
        <v>1138</v>
      </c>
      <c r="D1183" s="67"/>
      <c r="E1183" s="67"/>
    </row>
    <row r="1184" spans="1:5" x14ac:dyDescent="0.3">
      <c r="A1184" s="67" t="s">
        <v>1139</v>
      </c>
      <c r="B1184" s="67">
        <v>1</v>
      </c>
      <c r="C1184" s="67">
        <v>2</v>
      </c>
      <c r="D1184" s="67"/>
      <c r="E1184" s="67"/>
    </row>
    <row r="1185" spans="1:8" x14ac:dyDescent="0.3">
      <c r="A1185" s="67" t="s">
        <v>1140</v>
      </c>
      <c r="B1185" s="67">
        <v>1</v>
      </c>
      <c r="C1185" s="67">
        <v>3</v>
      </c>
      <c r="D1185" s="67"/>
      <c r="E1185" s="67"/>
    </row>
    <row r="1186" spans="1:8" x14ac:dyDescent="0.3">
      <c r="A1186" s="67" t="s">
        <v>1141</v>
      </c>
      <c r="B1186" s="67">
        <v>1</v>
      </c>
      <c r="C1186" s="67">
        <v>5</v>
      </c>
      <c r="D1186" s="67"/>
      <c r="E1186" s="67"/>
    </row>
    <row r="1187" spans="1:8" x14ac:dyDescent="0.3">
      <c r="A1187" s="67" t="s">
        <v>1142</v>
      </c>
      <c r="B1187" s="67">
        <v>2</v>
      </c>
      <c r="C1187" s="67">
        <v>2</v>
      </c>
      <c r="D1187" s="67"/>
      <c r="E1187" s="67"/>
    </row>
    <row r="1188" spans="1:8" x14ac:dyDescent="0.3">
      <c r="A1188" s="67" t="s">
        <v>1143</v>
      </c>
      <c r="B1188" s="67">
        <v>2</v>
      </c>
      <c r="C1188" s="67">
        <v>4</v>
      </c>
      <c r="D1188" s="67"/>
      <c r="E1188" s="67"/>
    </row>
    <row r="1189" spans="1:8" x14ac:dyDescent="0.3">
      <c r="A1189" s="67" t="s">
        <v>1144</v>
      </c>
      <c r="B1189" s="67">
        <v>2</v>
      </c>
      <c r="C1189" s="67">
        <v>4</v>
      </c>
      <c r="D1189" s="67"/>
      <c r="E1189" s="67"/>
    </row>
    <row r="1190" spans="1:8" x14ac:dyDescent="0.3">
      <c r="A1190" s="67" t="s">
        <v>1145</v>
      </c>
      <c r="B1190" s="67">
        <v>3</v>
      </c>
      <c r="C1190" s="67">
        <v>3</v>
      </c>
      <c r="D1190" s="67"/>
      <c r="E1190" s="67"/>
    </row>
    <row r="1191" spans="1:8" x14ac:dyDescent="0.3">
      <c r="A1191" s="67" t="s">
        <v>1146</v>
      </c>
      <c r="B1191" s="67">
        <v>3</v>
      </c>
      <c r="C1191" s="67">
        <v>3</v>
      </c>
      <c r="D1191" s="67"/>
      <c r="E1191" s="67"/>
    </row>
    <row r="1192" spans="1:8" x14ac:dyDescent="0.3">
      <c r="A1192" s="67" t="s">
        <v>1147</v>
      </c>
      <c r="B1192" s="67">
        <v>3</v>
      </c>
      <c r="C1192" s="67">
        <v>5</v>
      </c>
      <c r="D1192" s="67"/>
      <c r="E1192" s="67"/>
    </row>
    <row r="1193" spans="1:8" x14ac:dyDescent="0.3">
      <c r="A1193" s="67" t="s">
        <v>1148</v>
      </c>
      <c r="B1193" s="67">
        <v>4</v>
      </c>
      <c r="C1193" s="67">
        <v>4</v>
      </c>
      <c r="D1193" s="67"/>
      <c r="E1193" s="67"/>
    </row>
    <row r="1194" spans="1:8" x14ac:dyDescent="0.3">
      <c r="A1194" s="67" t="s">
        <v>1149</v>
      </c>
      <c r="B1194" s="67">
        <v>4</v>
      </c>
      <c r="C1194" s="67">
        <v>5</v>
      </c>
      <c r="D1194" s="67"/>
      <c r="E1194" s="67"/>
    </row>
    <row r="1195" spans="1:8" x14ac:dyDescent="0.3">
      <c r="A1195" s="67" t="s">
        <v>1150</v>
      </c>
      <c r="B1195" s="67">
        <v>4</v>
      </c>
      <c r="C1195" s="67">
        <v>5</v>
      </c>
      <c r="D1195" s="67"/>
      <c r="E1195" s="67"/>
    </row>
    <row r="1196" spans="1:8" x14ac:dyDescent="0.3">
      <c r="A1196" s="67"/>
      <c r="B1196" s="67"/>
      <c r="C1196" s="67"/>
      <c r="D1196" s="67"/>
      <c r="E1196" s="67"/>
    </row>
    <row r="1197" spans="1:8" x14ac:dyDescent="0.3">
      <c r="A1197" s="13" t="s">
        <v>1151</v>
      </c>
      <c r="B1197" s="13" t="s">
        <v>1152</v>
      </c>
      <c r="C1197" s="13" t="s">
        <v>1153</v>
      </c>
      <c r="D1197" s="13" t="s">
        <v>1154</v>
      </c>
      <c r="E1197" s="13" t="s">
        <v>1155</v>
      </c>
    </row>
    <row r="1198" spans="1:8" x14ac:dyDescent="0.3">
      <c r="A1198" s="67">
        <v>1</v>
      </c>
      <c r="B1198" s="28">
        <f>COUNTIF($B$1184:$B$1195,A1198)</f>
        <v>3</v>
      </c>
      <c r="C1198" s="78">
        <f>COUNTIFS($B$1184:$B$1195,A1198,$C$1184:$C$1195,"&gt;="&amp;A1198+1)/B1198</f>
        <v>1</v>
      </c>
      <c r="D1198" s="78">
        <f>COUNTIFS($B$1184:$B$1195,A1198,$C$1184:$C$1195,"&gt;="&amp;A1198+2)/B1198</f>
        <v>0.66666666666666663</v>
      </c>
      <c r="E1198" s="78">
        <f>COUNTIFS($B$1184:$B$1195,A1198,$C$1184:$C$1195,"&gt;="&amp;A1198+3)/B1198</f>
        <v>0.33333333333333331</v>
      </c>
      <c r="F1198" s="72" t="str">
        <f ca="1">_xlfn.FORMULATEXT(E1198)</f>
        <v>=COUNTIFS($B$1184:$B$1195,A1198,$C$1184:$C$1195,"&gt;="&amp;A1198+3)/B1198</v>
      </c>
      <c r="G1198" s="72"/>
      <c r="H1198" s="72"/>
    </row>
    <row r="1199" spans="1:8" x14ac:dyDescent="0.3">
      <c r="A1199" s="67">
        <v>2</v>
      </c>
      <c r="B1199" s="28">
        <f t="shared" ref="B1199:C1201" si="34">COUNTIF($B$1184:$B$1195,A1199)</f>
        <v>3</v>
      </c>
      <c r="C1199" s="78">
        <f t="shared" ref="C1199:C1201" si="35">COUNTIFS($B$1184:$B$1195,A1199,$C$1184:$C$1195,"&gt;="&amp;A1199+1)/B1199</f>
        <v>0.66666666666666663</v>
      </c>
      <c r="D1199" s="78">
        <f t="shared" ref="D1199:D1200" si="36">COUNTIFS($B$1184:$B$1195,A1199,$C$1184:$C$1195,"&gt;="&amp;A1199+2)/B1199</f>
        <v>0.66666666666666663</v>
      </c>
      <c r="E1199" s="78">
        <f>COUNTIFS($B$1184:$B$1195,A1199,$C$1184:$C$1195,"&gt;="&amp;A1199+3)/B1199</f>
        <v>0</v>
      </c>
      <c r="F1199" s="72"/>
      <c r="G1199" s="72"/>
      <c r="H1199" s="72"/>
    </row>
    <row r="1200" spans="1:8" x14ac:dyDescent="0.3">
      <c r="A1200" s="67">
        <v>3</v>
      </c>
      <c r="B1200" s="28">
        <f t="shared" si="34"/>
        <v>3</v>
      </c>
      <c r="C1200" s="78">
        <f t="shared" si="35"/>
        <v>0.33333333333333331</v>
      </c>
      <c r="D1200" s="78">
        <f t="shared" si="36"/>
        <v>0.33333333333333331</v>
      </c>
      <c r="E1200" s="79"/>
      <c r="F1200" s="75" t="str">
        <f ca="1">_xlfn.FORMULATEXT(B1198)</f>
        <v>=COUNTIF($B$1184:$B$1195,A1198)</v>
      </c>
      <c r="G1200" s="75"/>
      <c r="H1200" s="75"/>
    </row>
    <row r="1201" spans="1:7" x14ac:dyDescent="0.3">
      <c r="A1201" s="67">
        <v>4</v>
      </c>
      <c r="B1201" s="28">
        <f t="shared" si="34"/>
        <v>3</v>
      </c>
      <c r="C1201" s="78">
        <f t="shared" si="35"/>
        <v>0.66666666666666663</v>
      </c>
      <c r="D1201" s="79"/>
      <c r="E1201" s="79"/>
    </row>
    <row r="1203" spans="1:7" s="67" customFormat="1" x14ac:dyDescent="0.3">
      <c r="A1203" s="22" t="s">
        <v>1157</v>
      </c>
    </row>
    <row r="1204" spans="1:7" s="67" customFormat="1" ht="31.2" x14ac:dyDescent="0.3">
      <c r="A1204" s="67" t="s">
        <v>1158</v>
      </c>
    </row>
    <row r="1205" spans="1:7" s="67" customFormat="1" x14ac:dyDescent="0.3">
      <c r="A1205" s="67" t="s">
        <v>1159</v>
      </c>
    </row>
    <row r="1206" spans="1:7" s="67" customFormat="1" x14ac:dyDescent="0.3">
      <c r="A1206" s="67" t="s">
        <v>1161</v>
      </c>
    </row>
    <row r="1207" spans="1:7" s="67" customFormat="1" x14ac:dyDescent="0.3">
      <c r="A1207" s="67" t="s">
        <v>1171</v>
      </c>
    </row>
    <row r="1208" spans="1:7" s="67" customFormat="1" x14ac:dyDescent="0.3">
      <c r="A1208" s="67" t="s">
        <v>677</v>
      </c>
    </row>
    <row r="1209" spans="1:7" s="67" customFormat="1" x14ac:dyDescent="0.3">
      <c r="A1209" s="67" t="s">
        <v>1172</v>
      </c>
    </row>
    <row r="1210" spans="1:7" s="67" customFormat="1" x14ac:dyDescent="0.3">
      <c r="A1210" s="67" t="s">
        <v>1173</v>
      </c>
    </row>
    <row r="1211" spans="1:7" s="67" customFormat="1" x14ac:dyDescent="0.3">
      <c r="A1211" s="67" t="s">
        <v>1160</v>
      </c>
    </row>
    <row r="1212" spans="1:7" s="67" customFormat="1" x14ac:dyDescent="0.3">
      <c r="A1212" s="67" t="s">
        <v>1174</v>
      </c>
    </row>
    <row r="1213" spans="1:7" s="67" customFormat="1" x14ac:dyDescent="0.3"/>
    <row r="1214" spans="1:7" s="67" customFormat="1" x14ac:dyDescent="0.3">
      <c r="A1214" s="13" t="s">
        <v>113</v>
      </c>
      <c r="B1214" s="13" t="s">
        <v>1162</v>
      </c>
      <c r="C1214" s="13" t="s">
        <v>73</v>
      </c>
      <c r="D1214" s="13" t="s">
        <v>1163</v>
      </c>
      <c r="E1214" s="13" t="s">
        <v>1164</v>
      </c>
    </row>
    <row r="1215" spans="1:7" s="67" customFormat="1" x14ac:dyDescent="0.3">
      <c r="A1215" s="67" t="s">
        <v>1165</v>
      </c>
      <c r="B1215" s="67">
        <v>2024</v>
      </c>
      <c r="C1215" s="67">
        <v>3</v>
      </c>
      <c r="D1215" s="67">
        <v>15</v>
      </c>
      <c r="E1215" s="21">
        <f>DATE(B1215,C1215,D1215)</f>
        <v>45366</v>
      </c>
      <c r="F1215" s="71" t="str">
        <f ca="1">_xlfn.FORMULATEXT(E1215)</f>
        <v>=DATE(B1215,C1215,D1215)</v>
      </c>
      <c r="G1215" s="71"/>
    </row>
    <row r="1216" spans="1:7" s="67" customFormat="1" x14ac:dyDescent="0.3">
      <c r="A1216" s="67" t="s">
        <v>1166</v>
      </c>
      <c r="B1216" s="67">
        <v>2024</v>
      </c>
      <c r="C1216" s="67">
        <v>7</v>
      </c>
      <c r="D1216" s="67">
        <v>4</v>
      </c>
      <c r="E1216" s="21">
        <f t="shared" ref="E1216:E1220" si="37">DATE(B1216,C1216,D1216)</f>
        <v>45477</v>
      </c>
    </row>
    <row r="1217" spans="1:5" s="67" customFormat="1" x14ac:dyDescent="0.3">
      <c r="A1217" s="67" t="s">
        <v>1167</v>
      </c>
      <c r="B1217" s="67">
        <v>2024</v>
      </c>
      <c r="C1217" s="67">
        <v>11</v>
      </c>
      <c r="D1217" s="67">
        <v>28</v>
      </c>
      <c r="E1217" s="21">
        <f t="shared" si="37"/>
        <v>45624</v>
      </c>
    </row>
    <row r="1218" spans="1:5" s="67" customFormat="1" x14ac:dyDescent="0.3">
      <c r="A1218" s="67" t="s">
        <v>1168</v>
      </c>
      <c r="B1218" s="67">
        <v>2025</v>
      </c>
      <c r="C1218" s="67">
        <v>1</v>
      </c>
      <c r="D1218" s="67">
        <v>9</v>
      </c>
      <c r="E1218" s="21">
        <f t="shared" si="37"/>
        <v>45666</v>
      </c>
    </row>
    <row r="1219" spans="1:5" s="67" customFormat="1" x14ac:dyDescent="0.3">
      <c r="A1219" s="67" t="s">
        <v>1169</v>
      </c>
      <c r="B1219" s="67">
        <v>2025</v>
      </c>
      <c r="C1219" s="67">
        <v>6</v>
      </c>
      <c r="D1219" s="67">
        <v>21</v>
      </c>
      <c r="E1219" s="21">
        <f t="shared" si="37"/>
        <v>45829</v>
      </c>
    </row>
    <row r="1220" spans="1:5" s="67" customFormat="1" x14ac:dyDescent="0.3">
      <c r="A1220" s="67" t="s">
        <v>1170</v>
      </c>
      <c r="B1220" s="67">
        <v>2025</v>
      </c>
      <c r="C1220" s="67">
        <v>10</v>
      </c>
      <c r="D1220" s="67">
        <v>3</v>
      </c>
      <c r="E1220" s="21">
        <f t="shared" si="37"/>
        <v>45933</v>
      </c>
    </row>
    <row r="1221" spans="1:5" s="67" customFormat="1" x14ac:dyDescent="0.3"/>
    <row r="1222" spans="1:5" s="67" customFormat="1" x14ac:dyDescent="0.3"/>
    <row r="1223" spans="1:5" s="67" customFormat="1" x14ac:dyDescent="0.3"/>
  </sheetData>
  <mergeCells count="28">
    <mergeCell ref="F1215:G1215"/>
    <mergeCell ref="F1200:H1200"/>
    <mergeCell ref="F1198:H1199"/>
    <mergeCell ref="C236:C237"/>
    <mergeCell ref="B256:C256"/>
    <mergeCell ref="C359:C360"/>
    <mergeCell ref="C476:E476"/>
    <mergeCell ref="C477:E477"/>
    <mergeCell ref="E627:F627"/>
    <mergeCell ref="B572:B574"/>
    <mergeCell ref="B550:B552"/>
    <mergeCell ref="B500:C500"/>
    <mergeCell ref="C669:D669"/>
    <mergeCell ref="I1106:K1106"/>
    <mergeCell ref="B684:C684"/>
    <mergeCell ref="B685:C685"/>
    <mergeCell ref="B700:C700"/>
    <mergeCell ref="B702:C702"/>
    <mergeCell ref="B756:C756"/>
    <mergeCell ref="B718:D718"/>
    <mergeCell ref="B742:D742"/>
    <mergeCell ref="B743:D743"/>
    <mergeCell ref="B937:C937"/>
    <mergeCell ref="G1032:I1032"/>
    <mergeCell ref="B1073:C1074"/>
    <mergeCell ref="B1013:C1013"/>
    <mergeCell ref="G869:I870"/>
    <mergeCell ref="E894:F89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2026-07-08T18:34:35Z</dcterms:modified>
</cp:coreProperties>
</file>